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פירוט ריבית חובה לפי PDF" sheetId="1" state="visible" r:id="rId1"/>
    <sheet xmlns:r="http://schemas.openxmlformats.org/officeDocument/2006/relationships" name="בנק" sheetId="2" state="visible" r:id="rId2"/>
    <sheet xmlns:r="http://schemas.openxmlformats.org/officeDocument/2006/relationships" name="חישוב החזר לפי יתרות בבנ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/YY"/>
    <numFmt numFmtId="166" formatCode="_ * #,##0.0_"/>
    <numFmt numFmtId="167" formatCode="DD.MM.YYYY"/>
  </numFmts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b val="1"/>
      <sz val="11"/>
    </font>
    <font>
      <name val="Arial"/>
      <b val="1"/>
      <sz val="12"/>
    </font>
  </fonts>
  <fills count="6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D9E1F2"/>
      </patternFill>
    </fill>
    <fill>
      <patternFill patternType="solid">
        <fgColor rgb="00FFFF00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general" vertical="bottom" readingOrder="2"/>
    </xf>
    <xf numFmtId="0" fontId="2" fillId="0" borderId="0" applyAlignment="1" pivotButton="0" quotePrefix="0" xfId="0">
      <alignment horizontal="general" vertical="bottom" readingOrder="2"/>
    </xf>
    <xf numFmtId="0" fontId="3" fillId="0" borderId="0" applyAlignment="1" pivotButton="0" quotePrefix="0" xfId="0">
      <alignment horizontal="center" vertical="bottom" readingOrder="2"/>
    </xf>
    <xf numFmtId="0" fontId="3" fillId="0" borderId="0" applyAlignment="1" pivotButton="0" quotePrefix="0" xfId="0">
      <alignment horizontal="general" vertical="bottom" readingOrder="2"/>
    </xf>
    <xf numFmtId="10" fontId="2" fillId="0" borderId="0" applyAlignment="1" pivotButton="0" quotePrefix="0" xfId="0">
      <alignment horizontal="center" vertical="bottom" readingOrder="2"/>
    </xf>
    <xf numFmtId="2" fontId="2" fillId="0" borderId="0" applyAlignment="1" pivotButton="0" quotePrefix="0" xfId="0">
      <alignment horizontal="center" vertical="bottom" readingOrder="2"/>
    </xf>
    <xf numFmtId="10" fontId="2" fillId="2" borderId="0" applyAlignment="1" pivotButton="0" quotePrefix="0" xfId="0">
      <alignment horizontal="center" vertical="bottom" readingOrder="2"/>
    </xf>
    <xf numFmtId="0" fontId="4" fillId="0" borderId="0" applyAlignment="1" pivotButton="0" quotePrefix="0" xfId="0">
      <alignment horizontal="general" vertical="bottom" wrapText="1" readingOrder="2"/>
    </xf>
    <xf numFmtId="0" fontId="3" fillId="3" borderId="1" applyAlignment="1" pivotButton="0" quotePrefix="0" xfId="0">
      <alignment horizontal="center" vertical="bottom" readingOrder="2"/>
    </xf>
    <xf numFmtId="0" fontId="3" fillId="4" borderId="1" applyAlignment="1" pivotButton="0" quotePrefix="0" xfId="0">
      <alignment horizontal="center" vertical="bottom" readingOrder="2"/>
    </xf>
    <xf numFmtId="10" fontId="3" fillId="0" borderId="0" applyAlignment="1" pivotButton="0" quotePrefix="0" xfId="0">
      <alignment horizontal="center" vertical="bottom" readingOrder="2"/>
    </xf>
    <xf numFmtId="165" fontId="2" fillId="0" borderId="1" applyAlignment="1" pivotButton="0" quotePrefix="0" xfId="0">
      <alignment horizontal="general" vertical="bottom" readingOrder="2"/>
    </xf>
    <xf numFmtId="0" fontId="2" fillId="0" borderId="1" applyAlignment="1" pivotButton="0" quotePrefix="0" xfId="0">
      <alignment horizontal="general" vertical="bottom" readingOrder="2"/>
    </xf>
    <xf numFmtId="0" fontId="0" fillId="0" borderId="1" pivotButton="0" quotePrefix="0" xfId="0"/>
    <xf numFmtId="1" fontId="0" fillId="0" borderId="0" applyAlignment="1" pivotButton="0" quotePrefix="0" xfId="0">
      <alignment horizontal="center" vertical="bottom" readingOrder="2"/>
    </xf>
    <xf numFmtId="3" fontId="2" fillId="0" borderId="1" applyAlignment="1" pivotButton="0" quotePrefix="0" xfId="0">
      <alignment horizontal="right" vertical="bottom" readingOrder="2"/>
    </xf>
    <xf numFmtId="10" fontId="2" fillId="0" borderId="1" applyAlignment="1" pivotButton="0" quotePrefix="0" xfId="0">
      <alignment horizontal="center" vertical="bottom" readingOrder="2"/>
    </xf>
    <xf numFmtId="166" fontId="2" fillId="0" borderId="1" applyAlignment="1" pivotButton="0" quotePrefix="0" xfId="0">
      <alignment horizontal="right" vertical="bottom" readingOrder="2"/>
    </xf>
    <xf numFmtId="4" fontId="2" fillId="0" borderId="1" applyAlignment="1" pivotButton="0" quotePrefix="0" xfId="0">
      <alignment horizontal="right" vertical="bottom" readingOrder="2"/>
    </xf>
    <xf numFmtId="4" fontId="0" fillId="0" borderId="0" applyAlignment="1" pivotButton="0" quotePrefix="0" xfId="0">
      <alignment horizontal="right" vertical="bottom" readingOrder="2"/>
    </xf>
    <xf numFmtId="4" fontId="2" fillId="0" borderId="0" applyAlignment="1" pivotButton="0" quotePrefix="0" xfId="0">
      <alignment horizontal="right" vertical="bottom" readingOrder="2"/>
    </xf>
    <xf numFmtId="4" fontId="3" fillId="4" borderId="0" applyAlignment="1" pivotButton="0" quotePrefix="0" xfId="0">
      <alignment horizontal="right" vertical="bottom" readingOrder="2"/>
    </xf>
    <xf numFmtId="4" fontId="3" fillId="0" borderId="0" applyAlignment="1" pivotButton="0" quotePrefix="0" xfId="0">
      <alignment horizontal="right" vertical="bottom" readingOrder="2"/>
    </xf>
    <xf numFmtId="0" fontId="2" fillId="4" borderId="0" applyAlignment="1" pivotButton="0" quotePrefix="0" xfId="0">
      <alignment horizontal="general" vertical="bottom" wrapText="1" readingOrder="2"/>
    </xf>
    <xf numFmtId="0" fontId="2" fillId="0" borderId="0" applyAlignment="1" pivotButton="0" quotePrefix="0" xfId="0">
      <alignment horizontal="general" vertical="bottom" wrapText="1" readingOrder="2"/>
    </xf>
    <xf numFmtId="0" fontId="2" fillId="0" borderId="0" applyAlignment="1" pivotButton="0" quotePrefix="0" xfId="0">
      <alignment horizontal="center" vertical="bottom" readingOrder="2"/>
    </xf>
    <xf numFmtId="0" fontId="4" fillId="0" borderId="0" applyAlignment="1" pivotButton="0" quotePrefix="0" xfId="0">
      <alignment horizontal="general" vertical="bottom" readingOrder="2"/>
    </xf>
    <xf numFmtId="0" fontId="3" fillId="5" borderId="1" applyAlignment="1" pivotButton="0" quotePrefix="0" xfId="0">
      <alignment horizontal="center" vertical="bottom" readingOrder="2"/>
    </xf>
    <xf numFmtId="167" fontId="2" fillId="0" borderId="0" applyAlignment="1" pivotButton="0" quotePrefix="0" xfId="0">
      <alignment horizontal="center" vertical="bottom" readingOrder="2"/>
    </xf>
    <xf numFmtId="4" fontId="0" fillId="0" borderId="0" pivotButton="0" quotePrefix="0" xfId="0"/>
    <xf numFmtId="0" fontId="3" fillId="4" borderId="0" applyAlignment="1" pivotButton="0" quotePrefix="0" xfId="0">
      <alignment horizontal="general" vertical="bottom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22" customWidth="1" min="4" max="4"/>
    <col width="18" customWidth="1" min="5" max="5"/>
    <col width="14" customWidth="1" min="6" max="6"/>
    <col width="20" customWidth="1" min="7" max="7"/>
    <col width="18" customWidth="1" min="8" max="8"/>
    <col width="14" customWidth="1" min="9" max="9"/>
    <col width="14" customWidth="1" min="10" max="10"/>
    <col width="20" customWidth="1" min="11" max="11"/>
    <col width="14" customWidth="1" min="12" max="12"/>
  </cols>
  <sheetData>
    <row r="1">
      <c r="A1" s="1" t="inlineStr">
        <is>
          <t>בנק הפועלים</t>
        </is>
      </c>
      <c r="F1" s="2" t="inlineStr">
        <is>
          <t>ארביטראז' גלובל אל פי</t>
        </is>
      </c>
      <c r="I1" s="3" t="inlineStr">
        <is>
          <t>תקופה 1</t>
        </is>
      </c>
      <c r="J1" s="3" t="inlineStr">
        <is>
          <t>תקופה 2</t>
        </is>
      </c>
      <c r="K1" s="3" t="inlineStr">
        <is>
          <t>תאריך שינוי ריבית</t>
        </is>
      </c>
    </row>
    <row r="2">
      <c r="A2" s="2" t="inlineStr">
        <is>
          <t>סניף מרכז תפעולי עסקי 600</t>
        </is>
      </c>
      <c r="F2" s="2" t="inlineStr">
        <is>
          <t>דרך בגין 144</t>
        </is>
      </c>
      <c r="H2" s="4" t="inlineStr">
        <is>
          <t>ריבית בנק ישראל</t>
        </is>
      </c>
      <c r="I2" s="5" t="n">
        <v>0.045</v>
      </c>
      <c r="J2" s="5" t="n">
        <v>0.0425</v>
      </c>
      <c r="K2" s="6" t="n">
        <v>27.11</v>
      </c>
    </row>
    <row r="3">
      <c r="A3" s="2" t="inlineStr">
        <is>
          <t>מס: 03-6532407</t>
        </is>
      </c>
      <c r="F3" s="2" t="inlineStr">
        <is>
          <t>תל אביב - יפו</t>
        </is>
      </c>
      <c r="H3" s="4" t="inlineStr">
        <is>
          <t>מרווח ריבית חובה</t>
        </is>
      </c>
      <c r="I3" s="7" t="n">
        <v>0.0035</v>
      </c>
    </row>
    <row r="4">
      <c r="A4" s="2" t="inlineStr">
        <is>
          <t>מס חשבון 672593</t>
        </is>
      </c>
      <c r="F4" s="2" t="inlineStr">
        <is>
          <t>6492102</t>
        </is>
      </c>
      <c r="H4" s="4" t="inlineStr">
        <is>
          <t>מרווח ריבית זכות</t>
        </is>
      </c>
      <c r="I4" s="7" t="n">
        <v>-0.006</v>
      </c>
    </row>
    <row r="5">
      <c r="A5" s="2" t="inlineStr">
        <is>
          <t>תאריך הדפסה 02/01/26</t>
        </is>
      </c>
    </row>
    <row r="7">
      <c r="A7" s="8" t="inlineStr">
        <is>
          <t>הנדון: פירוט חיוב הריבית מיום 01/01/26 לתקופה 01/10/25 - 31/12/25</t>
        </is>
      </c>
    </row>
    <row r="8">
      <c r="K8" s="2" t="inlineStr">
        <is>
          <t>אם יש יתרות זכות אז יחושב פה</t>
        </is>
      </c>
    </row>
    <row r="9">
      <c r="A9" s="9" t="inlineStr">
        <is>
          <t>מתאריך</t>
        </is>
      </c>
      <c r="B9" s="9" t="inlineStr">
        <is>
          <t>עד תאריך</t>
        </is>
      </c>
      <c r="C9" s="9" t="inlineStr">
        <is>
          <t>מסגרת חח"ד</t>
        </is>
      </c>
      <c r="D9" s="9" t="inlineStr">
        <is>
          <t>מסגרת נוספת חד-צדדית</t>
        </is>
      </c>
      <c r="E9" s="9" t="inlineStr">
        <is>
          <t>גובה המדרגה (ש"ח)</t>
        </is>
      </c>
      <c r="F9" s="9" t="inlineStr">
        <is>
          <t>אחוז ריבית</t>
        </is>
      </c>
      <c r="G9" s="10" t="inlineStr">
        <is>
          <t>מספרי חובה</t>
        </is>
      </c>
      <c r="H9" s="9" t="inlineStr">
        <is>
          <t>ריבית חובה (ש"ח)</t>
        </is>
      </c>
      <c r="J9" s="11">
        <f>$I$2+$I$3</f>
        <v/>
      </c>
      <c r="K9" s="11">
        <f>$J$2+$I$3</f>
        <v/>
      </c>
    </row>
    <row r="10">
      <c r="A10" s="12" t="n">
        <v>45931</v>
      </c>
      <c r="B10" s="12" t="n">
        <v>45932</v>
      </c>
      <c r="C10" s="13" t="inlineStr">
        <is>
          <t>2,000,000 ש"ח</t>
        </is>
      </c>
      <c r="D10" s="14" t="n"/>
      <c r="E10" s="14" t="n"/>
      <c r="F10" s="14" t="n"/>
      <c r="G10" s="14" t="n"/>
      <c r="H10" s="14" t="n"/>
      <c r="I10" s="15">
        <f>B10-A10</f>
        <v/>
      </c>
    </row>
    <row r="11">
      <c r="A11" s="13" t="inlineStr">
        <is>
          <t>מדרגה 1</t>
        </is>
      </c>
      <c r="B11" s="14" t="n"/>
      <c r="C11" s="14" t="n"/>
      <c r="D11" s="14" t="n"/>
      <c r="E11" s="16" t="n">
        <v>2000000</v>
      </c>
      <c r="F11" s="17" t="n">
        <v>0.05400000000000001</v>
      </c>
      <c r="G11" s="18" t="n">
        <v>4000000</v>
      </c>
      <c r="H11" s="19" t="n">
        <v>591.78</v>
      </c>
      <c r="J11" s="20">
        <f>($J$9-F11)*G11/365</f>
        <v/>
      </c>
    </row>
    <row r="12">
      <c r="A12" s="13" t="inlineStr">
        <is>
          <t>חריגה</t>
        </is>
      </c>
      <c r="B12" s="14" t="n"/>
      <c r="C12" s="14" t="n"/>
      <c r="D12" s="14" t="n"/>
      <c r="F12" s="17" t="n">
        <v>0.05400000000000001</v>
      </c>
      <c r="G12" s="18" t="n">
        <v>751154523.42</v>
      </c>
      <c r="H12" s="19" t="n">
        <v>111129.71</v>
      </c>
      <c r="J12" s="20">
        <f>($J$9-F12)*G12/365</f>
        <v/>
      </c>
    </row>
    <row r="13">
      <c r="A13" s="12" t="n">
        <v>45933</v>
      </c>
      <c r="B13" s="12" t="n">
        <v>45960</v>
      </c>
      <c r="C13" s="13" t="inlineStr">
        <is>
          <t>2,000,000 ש"ח</t>
        </is>
      </c>
      <c r="D13" s="13" t="inlineStr">
        <is>
          <t>750,000,000 ש"ח</t>
        </is>
      </c>
      <c r="E13" s="14" t="n"/>
      <c r="F13" s="14" t="n"/>
      <c r="G13" s="14" t="n"/>
      <c r="H13" s="14" t="n"/>
      <c r="I13" s="15">
        <f>B13-A13</f>
        <v/>
      </c>
    </row>
    <row r="14">
      <c r="A14" s="13" t="inlineStr">
        <is>
          <t>מדרגה 1</t>
        </is>
      </c>
      <c r="B14" s="14" t="n"/>
      <c r="C14" s="14" t="n"/>
      <c r="D14" s="14" t="n"/>
      <c r="E14" s="16" t="n">
        <v>2000000</v>
      </c>
      <c r="F14" s="17" t="n">
        <v>0.05400000000000001</v>
      </c>
      <c r="G14" s="18" t="n">
        <v>26000000</v>
      </c>
      <c r="H14" s="19" t="n">
        <v>3846.58</v>
      </c>
      <c r="J14" s="20">
        <f>($J$9-F14)*G14/365</f>
        <v/>
      </c>
    </row>
    <row r="15">
      <c r="A15" s="13" t="inlineStr">
        <is>
          <t>מדרגה 2</t>
        </is>
      </c>
      <c r="B15" s="14" t="n"/>
      <c r="C15" s="14" t="n"/>
      <c r="D15" s="14" t="n"/>
      <c r="E15" s="16" t="n">
        <v>752000000</v>
      </c>
      <c r="F15" s="17" t="n">
        <v>0.05400000000000001</v>
      </c>
      <c r="G15" s="18" t="n">
        <v>640710838.03</v>
      </c>
      <c r="H15" s="19" t="n">
        <v>94790.10000000001</v>
      </c>
      <c r="J15" s="20">
        <f>($J$9-F15)*G15/365</f>
        <v/>
      </c>
    </row>
    <row r="16">
      <c r="A16" s="13" t="inlineStr">
        <is>
          <t>חריגה</t>
        </is>
      </c>
      <c r="B16" s="14" t="n"/>
      <c r="C16" s="14" t="n"/>
      <c r="D16" s="14" t="n"/>
      <c r="F16" s="17" t="n">
        <v>0.05400000000000001</v>
      </c>
      <c r="G16" s="18" t="n">
        <v>0</v>
      </c>
      <c r="H16" s="19" t="n">
        <v>0</v>
      </c>
      <c r="J16" s="20">
        <f>($J$9-F16)*G16/365</f>
        <v/>
      </c>
    </row>
    <row r="17">
      <c r="A17" s="12" t="n">
        <v>45961</v>
      </c>
      <c r="B17" s="12" t="n">
        <v>45961</v>
      </c>
      <c r="C17" s="13" t="inlineStr">
        <is>
          <t>2,000,000 ש"ח</t>
        </is>
      </c>
      <c r="D17" s="14" t="n"/>
      <c r="E17" s="14" t="n"/>
      <c r="F17" s="14" t="n"/>
      <c r="G17" s="14" t="n"/>
      <c r="H17" s="14" t="n"/>
      <c r="I17" s="15">
        <f>B17-A17</f>
        <v/>
      </c>
    </row>
    <row r="18">
      <c r="A18" s="13" t="inlineStr">
        <is>
          <t>מדרגה 1</t>
        </is>
      </c>
      <c r="B18" s="14" t="n"/>
      <c r="C18" s="14" t="n"/>
      <c r="D18" s="14" t="n"/>
      <c r="E18" s="16" t="n">
        <v>2000000</v>
      </c>
      <c r="F18" s="17" t="n">
        <v>0.05400000000000001</v>
      </c>
      <c r="G18" s="18" t="n">
        <v>0</v>
      </c>
      <c r="H18" s="19" t="n">
        <v>0</v>
      </c>
      <c r="J18" s="20">
        <f>($J$9-F18)*G18/365</f>
        <v/>
      </c>
    </row>
    <row r="19">
      <c r="A19" s="13" t="inlineStr">
        <is>
          <t>חריגה</t>
        </is>
      </c>
      <c r="B19" s="14" t="n"/>
      <c r="C19" s="14" t="n"/>
      <c r="D19" s="14" t="n"/>
      <c r="F19" s="17" t="n">
        <v>0.05400000000000001</v>
      </c>
      <c r="G19" s="18" t="n">
        <v>0</v>
      </c>
      <c r="H19" s="19" t="n">
        <v>0</v>
      </c>
      <c r="J19" s="20">
        <f>($J$9-F19)*G19/365</f>
        <v/>
      </c>
    </row>
    <row r="20">
      <c r="A20" s="12" t="n">
        <v>45962</v>
      </c>
      <c r="B20" s="12" t="n">
        <v>45987</v>
      </c>
      <c r="C20" s="13" t="inlineStr">
        <is>
          <t>2,000,000 ש"ח</t>
        </is>
      </c>
      <c r="D20" s="14" t="n"/>
      <c r="E20" s="14" t="n"/>
      <c r="F20" s="14" t="n"/>
      <c r="G20" s="14" t="n"/>
      <c r="H20" s="14" t="n"/>
      <c r="I20" s="15">
        <f>B20-A20</f>
        <v/>
      </c>
    </row>
    <row r="21">
      <c r="A21" s="13" t="inlineStr">
        <is>
          <t>מדרגה 1</t>
        </is>
      </c>
      <c r="B21" s="14" t="n"/>
      <c r="C21" s="14" t="n"/>
      <c r="D21" s="14" t="n"/>
      <c r="E21" s="16" t="n">
        <v>2000000</v>
      </c>
      <c r="F21" s="17" t="n">
        <v>0.05400000000000001</v>
      </c>
      <c r="G21" s="18" t="n">
        <v>16406420.72</v>
      </c>
      <c r="H21" s="19" t="n">
        <v>2427.25</v>
      </c>
      <c r="J21" s="20">
        <f>($J$9-F21)*G21/365</f>
        <v/>
      </c>
    </row>
    <row r="22">
      <c r="A22" s="13" t="inlineStr">
        <is>
          <t>חריגה</t>
        </is>
      </c>
      <c r="B22" s="14" t="n"/>
      <c r="C22" s="14" t="n"/>
      <c r="D22" s="14" t="n"/>
      <c r="F22" s="17" t="n">
        <v>0.05400000000000001</v>
      </c>
      <c r="G22" s="18" t="n">
        <v>84314027.58</v>
      </c>
      <c r="H22" s="19" t="n">
        <v>12473.86</v>
      </c>
      <c r="J22" s="20">
        <f>($J$9-F22)*G22/365</f>
        <v/>
      </c>
    </row>
    <row r="23">
      <c r="A23" s="12" t="n">
        <v>45988</v>
      </c>
      <c r="B23" s="12" t="n">
        <v>45988</v>
      </c>
      <c r="C23" s="13" t="inlineStr">
        <is>
          <t>2,000,000 ש"ח</t>
        </is>
      </c>
      <c r="D23" s="14" t="n"/>
      <c r="E23" s="14" t="n"/>
      <c r="F23" s="14" t="n"/>
      <c r="G23" s="14" t="n"/>
      <c r="H23" s="14" t="n"/>
      <c r="I23" s="15">
        <f>B23-A23</f>
        <v/>
      </c>
    </row>
    <row r="24">
      <c r="A24" s="13" t="inlineStr">
        <is>
          <t>מדרגה 1</t>
        </is>
      </c>
      <c r="B24" s="14" t="n"/>
      <c r="C24" s="14" t="n"/>
      <c r="D24" s="14" t="n"/>
      <c r="E24" s="16" t="n">
        <v>2000000</v>
      </c>
      <c r="F24" s="17" t="n">
        <v>0.0515</v>
      </c>
      <c r="G24" s="18" t="n">
        <v>2000000</v>
      </c>
      <c r="H24" s="19" t="n">
        <v>282.19</v>
      </c>
      <c r="K24" s="20">
        <f>($K$9-F24)*G24/365</f>
        <v/>
      </c>
    </row>
    <row r="25">
      <c r="A25" s="13" t="inlineStr">
        <is>
          <t>חריגה</t>
        </is>
      </c>
      <c r="B25" s="14" t="n"/>
      <c r="C25" s="14" t="n"/>
      <c r="D25" s="14" t="n"/>
      <c r="F25" s="17" t="n">
        <v>0.0515</v>
      </c>
      <c r="G25" s="18" t="n">
        <v>22154136.57</v>
      </c>
      <c r="H25" s="19" t="n">
        <v>3125.86</v>
      </c>
      <c r="K25" s="20">
        <f>($K$9-F25)*G25/365</f>
        <v/>
      </c>
    </row>
    <row r="26">
      <c r="A26" s="12" t="n">
        <v>45989</v>
      </c>
      <c r="B26" s="12" t="n">
        <v>45991</v>
      </c>
      <c r="C26" s="13" t="inlineStr">
        <is>
          <t>2,000,000 ש"ח</t>
        </is>
      </c>
      <c r="D26" s="14" t="n"/>
      <c r="E26" s="14" t="n"/>
      <c r="F26" s="14" t="n"/>
      <c r="G26" s="14" t="n"/>
      <c r="H26" s="14" t="n"/>
      <c r="I26" s="15">
        <f>B26-A26</f>
        <v/>
      </c>
    </row>
    <row r="27">
      <c r="A27" s="13" t="inlineStr">
        <is>
          <t>מדרגה 1</t>
        </is>
      </c>
      <c r="B27" s="14" t="n"/>
      <c r="C27" s="14" t="n"/>
      <c r="D27" s="14" t="n"/>
      <c r="E27" s="16" t="n">
        <v>2000000</v>
      </c>
      <c r="F27" s="17" t="n">
        <v>0.0515</v>
      </c>
      <c r="G27" s="18" t="n">
        <v>6000000</v>
      </c>
      <c r="H27" s="19" t="n">
        <v>846.58</v>
      </c>
      <c r="K27" s="20">
        <f>($K$9-F27)*G27/365</f>
        <v/>
      </c>
    </row>
    <row r="28">
      <c r="A28" s="13" t="inlineStr">
        <is>
          <t>חריגה</t>
        </is>
      </c>
      <c r="B28" s="14" t="n"/>
      <c r="C28" s="14" t="n"/>
      <c r="D28" s="14" t="n"/>
      <c r="F28" s="17" t="n">
        <v>0.08650000000000001</v>
      </c>
      <c r="G28" s="18" t="n">
        <v>53969102.87</v>
      </c>
      <c r="H28" s="19" t="n">
        <v>12789.94</v>
      </c>
      <c r="K28" s="20">
        <f>($K$9-F28)*G28/365</f>
        <v/>
      </c>
    </row>
    <row r="29">
      <c r="A29" s="12" t="n">
        <v>45992</v>
      </c>
      <c r="B29" s="12" t="n">
        <v>46014</v>
      </c>
      <c r="C29" s="13" t="inlineStr">
        <is>
          <t>2,000,000 ש"ח</t>
        </is>
      </c>
      <c r="D29" s="14" t="n"/>
      <c r="E29" s="14" t="n"/>
      <c r="F29" s="14" t="n"/>
      <c r="G29" s="14" t="n"/>
      <c r="H29" s="14" t="n"/>
      <c r="I29" s="15">
        <f>B29-A29</f>
        <v/>
      </c>
    </row>
    <row r="30">
      <c r="A30" s="13" t="inlineStr">
        <is>
          <t>מדרגה 1</t>
        </is>
      </c>
      <c r="B30" s="14" t="n"/>
      <c r="C30" s="14" t="n"/>
      <c r="D30" s="14" t="n"/>
      <c r="E30" s="16" t="n">
        <v>2000000</v>
      </c>
      <c r="F30" s="17" t="n">
        <v>0.0515</v>
      </c>
      <c r="G30" s="18" t="n">
        <v>26000000</v>
      </c>
      <c r="H30" s="19" t="n">
        <v>3668.49</v>
      </c>
      <c r="K30" s="20">
        <f>($K$9-F30)*G30/365</f>
        <v/>
      </c>
    </row>
    <row r="31">
      <c r="A31" s="13" t="inlineStr">
        <is>
          <t>חריגה</t>
        </is>
      </c>
      <c r="B31" s="14" t="n"/>
      <c r="C31" s="14" t="n"/>
      <c r="D31" s="14" t="n"/>
      <c r="F31" s="17" t="n">
        <v>0.08650000000000001</v>
      </c>
      <c r="G31" s="18" t="n">
        <v>1022774954.11</v>
      </c>
      <c r="H31" s="19" t="n">
        <v>242383.65</v>
      </c>
      <c r="K31" s="20">
        <f>($K$9-F31)*G31/365</f>
        <v/>
      </c>
    </row>
    <row r="32">
      <c r="A32" s="12" t="n">
        <v>46015</v>
      </c>
      <c r="B32" s="12" t="n">
        <v>46022</v>
      </c>
      <c r="C32" s="13" t="inlineStr">
        <is>
          <t>2,000,000 ש"ח</t>
        </is>
      </c>
      <c r="D32" s="14" t="n"/>
      <c r="E32" s="14" t="n"/>
      <c r="F32" s="14" t="n"/>
      <c r="G32" s="14" t="n"/>
      <c r="H32" s="14" t="n"/>
      <c r="I32" s="15">
        <f>B32-A32</f>
        <v/>
      </c>
    </row>
    <row r="33">
      <c r="A33" s="13" t="inlineStr">
        <is>
          <t>מדרגה 1</t>
        </is>
      </c>
      <c r="B33" s="14" t="n"/>
      <c r="C33" s="14" t="n"/>
      <c r="D33" s="14" t="n"/>
      <c r="E33" s="16" t="n">
        <v>2000000</v>
      </c>
      <c r="F33" s="17" t="n">
        <v>0.0515</v>
      </c>
      <c r="G33" s="18" t="n">
        <v>0</v>
      </c>
      <c r="H33" s="19" t="n">
        <v>0</v>
      </c>
      <c r="K33" s="20">
        <f>($K$9-F33)*G33/365</f>
        <v/>
      </c>
    </row>
    <row r="34">
      <c r="A34" s="13" t="inlineStr">
        <is>
          <t>חריגה</t>
        </is>
      </c>
      <c r="B34" s="14" t="n"/>
      <c r="C34" s="14" t="n"/>
      <c r="D34" s="14" t="n"/>
      <c r="F34" s="17" t="n">
        <v>0.0515</v>
      </c>
      <c r="G34" s="18" t="n">
        <v>0</v>
      </c>
      <c r="H34" s="19" t="n">
        <v>0</v>
      </c>
      <c r="K34" s="20">
        <f>($K$9-F34)*G34/365</f>
        <v/>
      </c>
    </row>
    <row r="36">
      <c r="A36" s="4" t="inlineStr">
        <is>
          <t>סה"כ ריבית חובה:</t>
        </is>
      </c>
      <c r="F36" s="2" t="inlineStr">
        <is>
          <t>מדרגה 1</t>
        </is>
      </c>
      <c r="G36" s="21" t="n">
        <v>11662.87</v>
      </c>
      <c r="J36" s="22">
        <f>SUM(J11:J34)</f>
        <v/>
      </c>
      <c r="K36" s="22">
        <f>SUM(K11:K34)</f>
        <v/>
      </c>
      <c r="L36" s="22">
        <f>SUM(J36:K36)</f>
        <v/>
      </c>
      <c r="M36" s="4" t="inlineStr">
        <is>
          <t>החזר</t>
        </is>
      </c>
    </row>
    <row r="37">
      <c r="F37" s="2" t="inlineStr">
        <is>
          <t>מדרגה 2</t>
        </is>
      </c>
      <c r="G37" s="21" t="n">
        <v>94790.10000000001</v>
      </c>
    </row>
    <row r="38">
      <c r="F38" s="2" t="inlineStr">
        <is>
          <t>חריגה</t>
        </is>
      </c>
      <c r="G38" s="21" t="n">
        <v>476693.12</v>
      </c>
    </row>
    <row r="39">
      <c r="G39" s="23">
        <f>SUM(G36:G38)</f>
        <v/>
      </c>
    </row>
    <row r="40">
      <c r="A40" s="4" t="inlineStr">
        <is>
          <t>חשבונך חויב ב- 01/01/26 בסכום של: 488,355.98 ש"ח.</t>
        </is>
      </c>
    </row>
    <row r="42">
      <c r="A42" s="4" t="inlineStr">
        <is>
          <t>לידיעתך:</t>
        </is>
      </c>
    </row>
    <row r="43">
      <c r="A43" s="24" t="inlineStr">
        <is>
          <t>מספרי חובה - נתון זה הינו סיכום (חיבור) של יתרות החובה בפועל (לפי תאריכי ערך)</t>
        </is>
      </c>
    </row>
    <row r="44">
      <c r="A44" s="25" t="inlineStr">
        <is>
          <t>בתקופת החישוב לגביה מחושבת ריבית החובה במדרגה הנדונה.</t>
        </is>
      </c>
    </row>
    <row r="45">
      <c r="A45" s="25" t="inlineStr">
        <is>
          <t>דיווח זה ניתן כשרות חינם ללקוח, בהתאם לכללי גילוי נאות.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1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18" customWidth="1" min="4" max="4"/>
    <col width="14" customWidth="1" min="5" max="5"/>
    <col width="8" customWidth="1" min="6" max="6"/>
    <col width="18" customWidth="1" min="7" max="7"/>
    <col width="18" customWidth="1" min="8" max="8"/>
    <col width="18" customWidth="1" min="9" max="9"/>
    <col width="10" customWidth="1" min="10" max="10"/>
    <col width="14" customWidth="1" min="11" max="11"/>
    <col width="22" customWidth="1" min="12" max="12"/>
    <col width="12" customWidth="1" min="13" max="13"/>
    <col width="12" customWidth="1" min="14" max="14"/>
    <col width="18" customWidth="1" min="15" max="15"/>
  </cols>
  <sheetData>
    <row r="1">
      <c r="M1" s="3" t="inlineStr">
        <is>
          <t>תקופה 1</t>
        </is>
      </c>
      <c r="N1" s="3" t="inlineStr">
        <is>
          <t>תקופה 2</t>
        </is>
      </c>
      <c r="O1" s="3" t="inlineStr">
        <is>
          <t>תאריך שינוי ריבית</t>
        </is>
      </c>
    </row>
    <row r="2">
      <c r="L2" s="4" t="inlineStr">
        <is>
          <t>ריבית בנק ישראל</t>
        </is>
      </c>
      <c r="M2" s="5" t="n">
        <v>0.045</v>
      </c>
      <c r="N2" s="5" t="n">
        <v>0.0425</v>
      </c>
      <c r="O2" s="26" t="inlineStr">
        <is>
          <t>27.11</t>
        </is>
      </c>
    </row>
    <row r="3">
      <c r="A3" s="27" t="inlineStr">
        <is>
          <t>תנועות בחשבון</t>
        </is>
      </c>
      <c r="L3" s="4" t="inlineStr">
        <is>
          <t>מרווח ריבית חובה</t>
        </is>
      </c>
      <c r="M3" s="7" t="n">
        <v>0.0035</v>
      </c>
    </row>
    <row r="4">
      <c r="A4" s="4" t="inlineStr">
        <is>
          <t>מספר חשבון 12-600-672593 לתקופה: 01/10/25 - 31/12/25</t>
        </is>
      </c>
      <c r="L4" s="4" t="inlineStr">
        <is>
          <t>מרווח ריבית זכות</t>
        </is>
      </c>
      <c r="M4" s="7" t="n">
        <v>-0.006</v>
      </c>
    </row>
    <row r="5">
      <c r="A5" s="28" t="inlineStr">
        <is>
          <t>תאריך</t>
        </is>
      </c>
      <c r="B5" s="28" t="inlineStr">
        <is>
          <t>קוד פעולה</t>
        </is>
      </c>
      <c r="C5" s="28" t="inlineStr">
        <is>
          <t>הפעולה</t>
        </is>
      </c>
      <c r="D5" s="28" t="inlineStr">
        <is>
          <t>פרטים</t>
        </is>
      </c>
      <c r="E5" s="28" t="inlineStr">
        <is>
          <t>אסמכתא</t>
        </is>
      </c>
      <c r="F5" s="28" t="inlineStr">
        <is>
          <t>צרור</t>
        </is>
      </c>
      <c r="G5" s="28" t="inlineStr">
        <is>
          <t>חובה</t>
        </is>
      </c>
      <c r="H5" s="28" t="inlineStr">
        <is>
          <t>זכות</t>
        </is>
      </c>
      <c r="I5" s="28" t="inlineStr">
        <is>
          <t>יתרה בש"ח</t>
        </is>
      </c>
      <c r="J5" s="28" t="inlineStr">
        <is>
          <t>הערה</t>
        </is>
      </c>
    </row>
    <row r="6">
      <c r="A6" s="29" t="n">
        <v>46022</v>
      </c>
      <c r="B6" s="26" t="inlineStr">
        <is>
          <t>452.0</t>
        </is>
      </c>
      <c r="C6" s="2" t="inlineStr">
        <is>
          <t>החלף ריבית</t>
        </is>
      </c>
      <c r="D6" s="2" t="inlineStr"/>
      <c r="E6" s="26" t="inlineStr">
        <is>
          <t>684942.0</t>
        </is>
      </c>
      <c r="F6" s="26" t="inlineStr">
        <is>
          <t>20.0</t>
        </is>
      </c>
      <c r="G6" s="21" t="n">
        <v>312414.2</v>
      </c>
      <c r="J6" s="15">
        <f>A6-A7</f>
        <v/>
      </c>
    </row>
    <row r="7">
      <c r="A7" s="29" t="n">
        <v>46022</v>
      </c>
      <c r="B7" s="26" t="inlineStr">
        <is>
          <t>452.0</t>
        </is>
      </c>
      <c r="C7" s="2" t="inlineStr">
        <is>
          <t>רכישה</t>
        </is>
      </c>
      <c r="D7" s="2" t="inlineStr"/>
      <c r="E7" s="26" t="inlineStr">
        <is>
          <t>4549312.0</t>
        </is>
      </c>
      <c r="F7" s="26" t="inlineStr">
        <is>
          <t>2.0</t>
        </is>
      </c>
      <c r="G7" s="21" t="n">
        <v>149142000</v>
      </c>
      <c r="I7" s="21" t="n">
        <v>312414.2</v>
      </c>
      <c r="J7" s="15">
        <f>A7-A8</f>
        <v/>
      </c>
    </row>
    <row r="8">
      <c r="A8" s="29" t="n">
        <v>46022</v>
      </c>
      <c r="B8" s="26" t="inlineStr">
        <is>
          <t>142.0</t>
        </is>
      </c>
      <c r="C8" s="2" t="inlineStr">
        <is>
          <t>החלף מטבע</t>
        </is>
      </c>
      <c r="D8" s="2" t="inlineStr"/>
      <c r="E8" s="26" t="inlineStr">
        <is>
          <t>808890.0</t>
        </is>
      </c>
      <c r="F8" s="26" t="inlineStr">
        <is>
          <t>20.0</t>
        </is>
      </c>
      <c r="H8" s="21" t="n">
        <v>30841.63</v>
      </c>
      <c r="I8" s="21" t="n">
        <v>149454414.2</v>
      </c>
      <c r="J8" s="15">
        <f>A8-A9</f>
        <v/>
      </c>
    </row>
    <row r="9">
      <c r="A9" s="29" t="n">
        <v>46022</v>
      </c>
      <c r="B9" s="26" t="inlineStr">
        <is>
          <t>121.0</t>
        </is>
      </c>
      <c r="C9" s="2" t="inlineStr">
        <is>
          <t>ני"ע-תש' ריבית</t>
        </is>
      </c>
      <c r="D9" s="2" t="inlineStr"/>
      <c r="E9" s="26" t="inlineStr">
        <is>
          <t>6120224.0</t>
        </is>
      </c>
      <c r="F9" s="26" t="inlineStr">
        <is>
          <t>9997.0</t>
        </is>
      </c>
      <c r="H9" s="21" t="n">
        <v>27911.61</v>
      </c>
      <c r="I9" s="21" t="n">
        <v>149423572.57</v>
      </c>
      <c r="J9" s="15">
        <f>A9-A10</f>
        <v/>
      </c>
    </row>
    <row r="10">
      <c r="A10" s="29" t="n">
        <v>46022</v>
      </c>
      <c r="B10" s="26" t="inlineStr">
        <is>
          <t>121.0</t>
        </is>
      </c>
      <c r="C10" s="2" t="inlineStr">
        <is>
          <t>ני"ע-פדיון</t>
        </is>
      </c>
      <c r="D10" s="2" t="inlineStr"/>
      <c r="E10" s="26" t="inlineStr">
        <is>
          <t>6120224.0</t>
        </is>
      </c>
      <c r="F10" s="26" t="inlineStr">
        <is>
          <t>9997.0</t>
        </is>
      </c>
      <c r="H10" s="21" t="n">
        <v>413505.32</v>
      </c>
      <c r="I10" s="21" t="n">
        <v>149395660.96</v>
      </c>
      <c r="J10" s="15">
        <f>A10-A11</f>
        <v/>
      </c>
    </row>
    <row r="11">
      <c r="A11" s="29" t="n">
        <v>46022</v>
      </c>
      <c r="B11" s="26" t="inlineStr">
        <is>
          <t>469.0</t>
        </is>
      </c>
      <c r="C11" s="2" t="inlineStr">
        <is>
          <t>הוראת-קבע</t>
        </is>
      </c>
      <c r="D11" s="2" t="inlineStr"/>
      <c r="E11" s="26" t="inlineStr">
        <is>
          <t>600672577.0</t>
        </is>
      </c>
      <c r="F11" s="26" t="inlineStr">
        <is>
          <t>33333.0</t>
        </is>
      </c>
      <c r="G11" s="21" t="n">
        <v>-148982155.64</v>
      </c>
      <c r="I11" s="21" t="n">
        <v>148982155.64</v>
      </c>
      <c r="J11" s="15">
        <f>A11-A12</f>
        <v/>
      </c>
    </row>
    <row r="12">
      <c r="A12" s="29" t="n">
        <v>46021</v>
      </c>
      <c r="B12" s="26" t="inlineStr">
        <is>
          <t>469.0</t>
        </is>
      </c>
      <c r="C12" s="2" t="inlineStr">
        <is>
          <t>הוראת-קבע</t>
        </is>
      </c>
      <c r="D12" s="2" t="inlineStr"/>
      <c r="E12" s="26" t="inlineStr">
        <is>
          <t>600672577.0</t>
        </is>
      </c>
      <c r="F12" s="26" t="inlineStr">
        <is>
          <t>33333.0</t>
        </is>
      </c>
      <c r="G12" s="21" t="n">
        <v>423137.81</v>
      </c>
      <c r="J12" s="15">
        <f>A12-A13</f>
        <v/>
      </c>
    </row>
    <row r="13">
      <c r="A13" s="29" t="n">
        <v>46021</v>
      </c>
      <c r="B13" s="26" t="inlineStr">
        <is>
          <t>142.0</t>
        </is>
      </c>
      <c r="C13" s="2" t="inlineStr">
        <is>
          <t>ספוט שקל</t>
        </is>
      </c>
      <c r="D13" s="2" t="inlineStr"/>
      <c r="E13" s="26" t="inlineStr">
        <is>
          <t>4542247.0</t>
        </is>
      </c>
      <c r="F13" s="26" t="inlineStr">
        <is>
          <t>4.0</t>
        </is>
      </c>
      <c r="H13" s="21" t="n">
        <v>423137.81</v>
      </c>
      <c r="I13" s="21" t="n">
        <v>423137.81</v>
      </c>
      <c r="J13" s="15">
        <f>A13-A14</f>
        <v/>
      </c>
    </row>
    <row r="14">
      <c r="A14" s="29" t="n">
        <v>46020</v>
      </c>
      <c r="B14" s="26" t="inlineStr">
        <is>
          <t>469.0</t>
        </is>
      </c>
      <c r="C14" s="2" t="inlineStr">
        <is>
          <t>הוראת-קבע</t>
        </is>
      </c>
      <c r="D14" s="2" t="inlineStr"/>
      <c r="E14" s="26" t="inlineStr">
        <is>
          <t>600672577.0</t>
        </is>
      </c>
      <c r="F14" s="26" t="inlineStr">
        <is>
          <t>33333.0</t>
        </is>
      </c>
      <c r="G14" s="21" t="n">
        <v>4528015.18</v>
      </c>
      <c r="J14" s="15">
        <f>A14-A15</f>
        <v/>
      </c>
    </row>
    <row r="15">
      <c r="A15" s="29" t="n">
        <v>46020</v>
      </c>
      <c r="B15" s="26" t="inlineStr">
        <is>
          <t>452.0</t>
        </is>
      </c>
      <c r="C15" s="2" t="inlineStr">
        <is>
          <t>החלף ריבית</t>
        </is>
      </c>
      <c r="D15" s="2" t="inlineStr"/>
      <c r="E15" s="26" t="inlineStr">
        <is>
          <t>684900.0</t>
        </is>
      </c>
      <c r="F15" s="26" t="inlineStr">
        <is>
          <t>20.0</t>
        </is>
      </c>
      <c r="G15" s="21" t="n">
        <v>206178.27</v>
      </c>
      <c r="I15" s="21" t="n">
        <v>4528015.18</v>
      </c>
      <c r="J15" s="15">
        <f>A15-A16</f>
        <v/>
      </c>
    </row>
    <row r="16">
      <c r="A16" s="29" t="n">
        <v>46020</v>
      </c>
      <c r="B16" s="26" t="inlineStr">
        <is>
          <t>452.0</t>
        </is>
      </c>
      <c r="C16" s="2" t="inlineStr">
        <is>
          <t>ספוט שקל</t>
        </is>
      </c>
      <c r="D16" s="2" t="inlineStr"/>
      <c r="E16" s="26" t="inlineStr">
        <is>
          <t>4538613.0</t>
        </is>
      </c>
      <c r="F16" s="26" t="inlineStr">
        <is>
          <t>4.0</t>
        </is>
      </c>
      <c r="G16" s="21" t="n">
        <v>37566970</v>
      </c>
      <c r="I16" s="21" t="n">
        <v>4734193.45</v>
      </c>
      <c r="J16" s="15">
        <f>A16-A17</f>
        <v/>
      </c>
    </row>
    <row r="17">
      <c r="A17" s="29" t="n">
        <v>46020</v>
      </c>
      <c r="B17" s="26" t="inlineStr">
        <is>
          <t>452.0</t>
        </is>
      </c>
      <c r="C17" s="2" t="inlineStr">
        <is>
          <t>פורוורד שקל</t>
        </is>
      </c>
      <c r="D17" s="2" t="inlineStr"/>
      <c r="E17" s="26" t="inlineStr">
        <is>
          <t>4538536.0</t>
        </is>
      </c>
      <c r="F17" s="26" t="inlineStr">
        <is>
          <t>6.0</t>
        </is>
      </c>
      <c r="G17" s="21" t="n">
        <v>656397466.74</v>
      </c>
      <c r="I17" s="21" t="n">
        <v>42301163.45</v>
      </c>
      <c r="J17" s="15">
        <f>A17-A18</f>
        <v/>
      </c>
    </row>
    <row r="18">
      <c r="A18" s="29" t="n">
        <v>46020</v>
      </c>
      <c r="B18" s="26" t="inlineStr">
        <is>
          <t>142.0</t>
        </is>
      </c>
      <c r="C18" s="2" t="inlineStr">
        <is>
          <t>החלף ריבית</t>
        </is>
      </c>
      <c r="D18" s="2" t="inlineStr"/>
      <c r="E18" s="26" t="inlineStr">
        <is>
          <t>684938.0</t>
        </is>
      </c>
      <c r="F18" s="26" t="inlineStr">
        <is>
          <t>20.0</t>
        </is>
      </c>
      <c r="H18" s="21" t="n">
        <v>515390.36</v>
      </c>
      <c r="I18" s="21" t="n">
        <v>698698630.1900001</v>
      </c>
      <c r="J18" s="15">
        <f>A18-A19</f>
        <v/>
      </c>
    </row>
    <row r="19">
      <c r="A19" s="29" t="n">
        <v>46020</v>
      </c>
      <c r="B19" s="26" t="inlineStr">
        <is>
          <t>142.0</t>
        </is>
      </c>
      <c r="C19" s="2" t="inlineStr">
        <is>
          <t>המרה</t>
        </is>
      </c>
      <c r="D19" s="2" t="inlineStr"/>
      <c r="E19" s="26" t="inlineStr">
        <is>
          <t>4543582.0</t>
        </is>
      </c>
      <c r="F19" s="26" t="inlineStr">
        <is>
          <t>1.0</t>
        </is>
      </c>
      <c r="H19" s="21" t="n">
        <v>101151.03</v>
      </c>
      <c r="I19" s="21" t="n">
        <v>698183239.83</v>
      </c>
      <c r="J19" s="15">
        <f>A19-A20</f>
        <v/>
      </c>
    </row>
    <row r="20">
      <c r="A20" s="29" t="n">
        <v>46020</v>
      </c>
      <c r="B20" s="26" t="inlineStr">
        <is>
          <t>142.0</t>
        </is>
      </c>
      <c r="C20" s="2" t="inlineStr">
        <is>
          <t>פורוורד שקל</t>
        </is>
      </c>
      <c r="D20" s="2" t="inlineStr"/>
      <c r="E20" s="26" t="inlineStr">
        <is>
          <t>4535466.0</t>
        </is>
      </c>
      <c r="F20" s="26" t="inlineStr">
        <is>
          <t>6.0</t>
        </is>
      </c>
      <c r="H20" s="21" t="n">
        <v>660110588.8</v>
      </c>
      <c r="I20" s="21" t="n">
        <v>698082088.8</v>
      </c>
      <c r="J20" s="15">
        <f>A20-A21</f>
        <v/>
      </c>
    </row>
    <row r="21">
      <c r="A21" s="29" t="n">
        <v>46020</v>
      </c>
      <c r="B21" s="26" t="inlineStr">
        <is>
          <t>142.0</t>
        </is>
      </c>
      <c r="C21" s="2" t="inlineStr">
        <is>
          <t>פורוורד שקל</t>
        </is>
      </c>
      <c r="D21" s="2" t="inlineStr"/>
      <c r="E21" s="26" t="inlineStr">
        <is>
          <t>4523586.0</t>
        </is>
      </c>
      <c r="F21" s="26" t="inlineStr">
        <is>
          <t>6.0</t>
        </is>
      </c>
      <c r="H21" s="21" t="n">
        <v>37971500</v>
      </c>
      <c r="I21" s="21" t="n">
        <v>37971500</v>
      </c>
      <c r="J21" s="15">
        <f>A21-A22</f>
        <v/>
      </c>
    </row>
    <row r="22">
      <c r="A22" s="29" t="n">
        <v>46014</v>
      </c>
      <c r="B22" s="26" t="inlineStr">
        <is>
          <t>469.0</t>
        </is>
      </c>
      <c r="C22" s="2" t="inlineStr">
        <is>
          <t>הוראת-קבע</t>
        </is>
      </c>
      <c r="D22" s="2" t="inlineStr"/>
      <c r="E22" s="26" t="inlineStr">
        <is>
          <t>600672577.0</t>
        </is>
      </c>
      <c r="F22" s="26" t="inlineStr">
        <is>
          <t>33333.0</t>
        </is>
      </c>
      <c r="G22" s="21" t="n">
        <v>622516.12</v>
      </c>
      <c r="J22" s="15">
        <f>A22-A23</f>
        <v/>
      </c>
    </row>
    <row r="23">
      <c r="A23" s="29" t="n">
        <v>46014</v>
      </c>
      <c r="B23" s="26" t="inlineStr">
        <is>
          <t>452.0</t>
        </is>
      </c>
      <c r="C23" s="2" t="inlineStr">
        <is>
          <t>רכישה</t>
        </is>
      </c>
      <c r="D23" s="2" t="inlineStr"/>
      <c r="E23" s="26" t="inlineStr">
        <is>
          <t>4535465.0</t>
        </is>
      </c>
      <c r="F23" s="26" t="inlineStr">
        <is>
          <t>2.0</t>
        </is>
      </c>
      <c r="G23" s="21" t="n">
        <v>660110588.8</v>
      </c>
      <c r="I23" s="21" t="n">
        <v>622516.12</v>
      </c>
      <c r="J23" s="15">
        <f>A23-A24</f>
        <v/>
      </c>
    </row>
    <row r="24">
      <c r="A24" s="29" t="n">
        <v>46014</v>
      </c>
      <c r="B24" s="26" t="inlineStr">
        <is>
          <t>142.0</t>
        </is>
      </c>
      <c r="C24" s="2" t="inlineStr">
        <is>
          <t>ספוט שקל</t>
        </is>
      </c>
      <c r="D24" s="2" t="inlineStr"/>
      <c r="E24" s="26" t="inlineStr">
        <is>
          <t>4532294.0</t>
        </is>
      </c>
      <c r="F24" s="26" t="inlineStr">
        <is>
          <t>4.0</t>
        </is>
      </c>
      <c r="H24" s="21" t="n">
        <v>660733104.92</v>
      </c>
      <c r="I24" s="21" t="n">
        <v>660733104.92</v>
      </c>
      <c r="J24" s="15">
        <f>A24-A25</f>
        <v/>
      </c>
    </row>
    <row r="25">
      <c r="A25" s="29" t="n">
        <v>46013</v>
      </c>
      <c r="B25" s="26" t="inlineStr">
        <is>
          <t>469.0</t>
        </is>
      </c>
      <c r="C25" s="2" t="inlineStr">
        <is>
          <t>הוראת-קבע</t>
        </is>
      </c>
      <c r="D25" s="2" t="inlineStr"/>
      <c r="E25" s="26" t="inlineStr">
        <is>
          <t>600672577.0</t>
        </is>
      </c>
      <c r="F25" s="26" t="inlineStr">
        <is>
          <t>33333.0</t>
        </is>
      </c>
      <c r="G25" s="21" t="n">
        <v>3766865.34</v>
      </c>
      <c r="J25" s="15">
        <f>A25-A26</f>
        <v/>
      </c>
    </row>
    <row r="26">
      <c r="A26" s="29" t="n">
        <v>46013</v>
      </c>
      <c r="B26" s="26" t="inlineStr">
        <is>
          <t>452.0</t>
        </is>
      </c>
      <c r="C26" s="2" t="inlineStr">
        <is>
          <t>רכישה</t>
        </is>
      </c>
      <c r="D26" s="2" t="inlineStr"/>
      <c r="E26" s="26" t="inlineStr">
        <is>
          <t>4532293.0</t>
        </is>
      </c>
      <c r="F26" s="26" t="inlineStr">
        <is>
          <t>2.0</t>
        </is>
      </c>
      <c r="G26" s="21" t="n">
        <v>660731046.5700001</v>
      </c>
      <c r="I26" s="21" t="n">
        <v>3766865.34</v>
      </c>
      <c r="J26" s="15">
        <f>A26-A27</f>
        <v/>
      </c>
    </row>
    <row r="27">
      <c r="A27" s="29" t="n">
        <v>46013</v>
      </c>
      <c r="B27" s="26" t="inlineStr">
        <is>
          <t>142.0</t>
        </is>
      </c>
      <c r="C27" s="2" t="inlineStr">
        <is>
          <t>המרה</t>
        </is>
      </c>
      <c r="D27" s="2" t="inlineStr"/>
      <c r="E27" s="26" t="inlineStr">
        <is>
          <t>4533804.0</t>
        </is>
      </c>
      <c r="F27" s="26" t="inlineStr">
        <is>
          <t>1.0</t>
        </is>
      </c>
      <c r="H27" s="21" t="n">
        <v>1787951.91</v>
      </c>
      <c r="I27" s="21" t="n">
        <v>664497911.91</v>
      </c>
      <c r="J27" s="15">
        <f>A27-A28</f>
        <v/>
      </c>
    </row>
    <row r="28">
      <c r="A28" s="29" t="n">
        <v>46013</v>
      </c>
      <c r="B28" s="26" t="inlineStr">
        <is>
          <t>142.0</t>
        </is>
      </c>
      <c r="C28" s="2" t="inlineStr">
        <is>
          <t>פורוורד שקל</t>
        </is>
      </c>
      <c r="D28" s="2" t="inlineStr"/>
      <c r="E28" s="26" t="inlineStr">
        <is>
          <t>4524936.0</t>
        </is>
      </c>
      <c r="F28" s="26" t="inlineStr">
        <is>
          <t>6.0</t>
        </is>
      </c>
      <c r="H28" s="21" t="n">
        <v>579628800</v>
      </c>
      <c r="I28" s="21" t="n">
        <v>662709960</v>
      </c>
      <c r="J28" s="15">
        <f>A28-A29</f>
        <v/>
      </c>
    </row>
    <row r="29">
      <c r="A29" s="29" t="n">
        <v>46013</v>
      </c>
      <c r="B29" s="26" t="inlineStr">
        <is>
          <t>142.0</t>
        </is>
      </c>
      <c r="C29" s="2" t="inlineStr">
        <is>
          <t>פורוורד שקל</t>
        </is>
      </c>
      <c r="D29" s="2" t="inlineStr"/>
      <c r="E29" s="26" t="inlineStr">
        <is>
          <t>4524932.0</t>
        </is>
      </c>
      <c r="F29" s="26" t="inlineStr">
        <is>
          <t>6.0</t>
        </is>
      </c>
      <c r="H29" s="21" t="n">
        <v>83081160</v>
      </c>
      <c r="I29" s="21" t="n">
        <v>83081160</v>
      </c>
      <c r="J29" s="15">
        <f>A29-A30</f>
        <v/>
      </c>
    </row>
    <row r="30">
      <c r="A30" s="29" t="n">
        <v>46009</v>
      </c>
      <c r="B30" s="26" t="inlineStr">
        <is>
          <t>471.0</t>
        </is>
      </c>
      <c r="C30" s="2" t="inlineStr">
        <is>
          <t>ני"ע-קניה</t>
        </is>
      </c>
      <c r="D30" s="2" t="inlineStr"/>
      <c r="E30" s="26" t="inlineStr">
        <is>
          <t>2310225.0</t>
        </is>
      </c>
      <c r="F30" s="26" t="inlineStr">
        <is>
          <t>1115.0</t>
        </is>
      </c>
      <c r="G30" s="21" t="n">
        <v>4810241.18</v>
      </c>
      <c r="J30" s="15">
        <f>A30-A31</f>
        <v/>
      </c>
    </row>
    <row r="31">
      <c r="A31" s="29" t="n">
        <v>46009</v>
      </c>
      <c r="B31" s="26" t="inlineStr">
        <is>
          <t>452.0</t>
        </is>
      </c>
      <c r="C31" s="2" t="inlineStr">
        <is>
          <t>ספוט שקל</t>
        </is>
      </c>
      <c r="D31" s="2" t="inlineStr"/>
      <c r="E31" s="26" t="inlineStr">
        <is>
          <t>4524935.0</t>
        </is>
      </c>
      <c r="F31" s="26" t="inlineStr">
        <is>
          <t>4.0</t>
        </is>
      </c>
      <c r="G31" s="21" t="n">
        <v>579600000</v>
      </c>
      <c r="I31" s="21" t="n">
        <v>4810241.18</v>
      </c>
      <c r="J31" s="15">
        <f>A31-A32</f>
        <v/>
      </c>
    </row>
    <row r="32">
      <c r="A32" s="29" t="n">
        <v>46009</v>
      </c>
      <c r="B32" s="26" t="inlineStr">
        <is>
          <t>452.0</t>
        </is>
      </c>
      <c r="C32" s="2" t="inlineStr">
        <is>
          <t>ספוט שקל</t>
        </is>
      </c>
      <c r="D32" s="2" t="inlineStr"/>
      <c r="E32" s="26" t="inlineStr">
        <is>
          <t>4523585.0</t>
        </is>
      </c>
      <c r="F32" s="26" t="inlineStr">
        <is>
          <t>4.0</t>
        </is>
      </c>
      <c r="G32" s="21" t="n">
        <v>37950000</v>
      </c>
      <c r="I32" s="21" t="n">
        <v>584410241.1799999</v>
      </c>
      <c r="J32" s="15">
        <f>A32-A33</f>
        <v/>
      </c>
    </row>
    <row r="33">
      <c r="A33" s="29" t="n">
        <v>46009</v>
      </c>
      <c r="B33" s="26" t="inlineStr">
        <is>
          <t>142.0</t>
        </is>
      </c>
      <c r="C33" s="2" t="inlineStr">
        <is>
          <t>ספוט שקל</t>
        </is>
      </c>
      <c r="D33" s="2" t="inlineStr"/>
      <c r="E33" s="26" t="inlineStr">
        <is>
          <t>4522726.0</t>
        </is>
      </c>
      <c r="F33" s="26" t="inlineStr">
        <is>
          <t>4.0</t>
        </is>
      </c>
      <c r="H33" s="21" t="n">
        <v>490720.53</v>
      </c>
      <c r="I33" s="21" t="n">
        <v>622360241.1799999</v>
      </c>
      <c r="J33" s="15">
        <f>A33-A34</f>
        <v/>
      </c>
    </row>
    <row r="34">
      <c r="A34" s="29" t="n">
        <v>46009</v>
      </c>
      <c r="B34" s="26" t="inlineStr">
        <is>
          <t>142.0</t>
        </is>
      </c>
      <c r="C34" s="2" t="inlineStr">
        <is>
          <t>פורוורד שקל</t>
        </is>
      </c>
      <c r="D34" s="2" t="inlineStr"/>
      <c r="E34" s="26" t="inlineStr">
        <is>
          <t>4520810.0</t>
        </is>
      </c>
      <c r="F34" s="26" t="inlineStr">
        <is>
          <t>6.0</t>
        </is>
      </c>
      <c r="H34" s="21" t="n">
        <v>576916200</v>
      </c>
      <c r="I34" s="21" t="n">
        <v>621869520.65</v>
      </c>
      <c r="J34" s="15">
        <f>A34-A35</f>
        <v/>
      </c>
    </row>
    <row r="35">
      <c r="A35" s="29" t="n">
        <v>46009</v>
      </c>
      <c r="B35" s="26" t="inlineStr">
        <is>
          <t>142.0</t>
        </is>
      </c>
      <c r="C35" s="2" t="inlineStr">
        <is>
          <t>ספוט שקל</t>
        </is>
      </c>
      <c r="D35" s="2" t="inlineStr"/>
      <c r="E35" s="26" t="inlineStr">
        <is>
          <t>4523582.0</t>
        </is>
      </c>
      <c r="F35" s="26" t="inlineStr">
        <is>
          <t>4.0</t>
        </is>
      </c>
      <c r="H35" s="21" t="n">
        <v>18982500</v>
      </c>
      <c r="I35" s="21" t="n">
        <v>44953320.65</v>
      </c>
      <c r="J35" s="15">
        <f>A35-A36</f>
        <v/>
      </c>
    </row>
    <row r="36">
      <c r="A36" s="29" t="n">
        <v>46009</v>
      </c>
      <c r="B36" s="26" t="inlineStr">
        <is>
          <t>142.0</t>
        </is>
      </c>
      <c r="C36" s="2" t="inlineStr">
        <is>
          <t>ספוט שקל</t>
        </is>
      </c>
      <c r="D36" s="2" t="inlineStr"/>
      <c r="E36" s="26" t="inlineStr">
        <is>
          <t>4523150.0</t>
        </is>
      </c>
      <c r="F36" s="26" t="inlineStr">
        <is>
          <t>4.0</t>
        </is>
      </c>
      <c r="H36" s="21" t="n">
        <v>18950000</v>
      </c>
      <c r="I36" s="21" t="n">
        <v>25970820.65</v>
      </c>
      <c r="J36" s="15">
        <f>A36-A37</f>
        <v/>
      </c>
    </row>
    <row r="37">
      <c r="A37" s="29" t="n">
        <v>46009</v>
      </c>
      <c r="B37" s="26" t="inlineStr">
        <is>
          <t>469.0</t>
        </is>
      </c>
      <c r="C37" s="2" t="inlineStr">
        <is>
          <t>הוראת-קבע</t>
        </is>
      </c>
      <c r="D37" s="2" t="inlineStr"/>
      <c r="E37" s="26" t="inlineStr">
        <is>
          <t>600672577.0</t>
        </is>
      </c>
      <c r="F37" s="26" t="inlineStr">
        <is>
          <t>33333.0</t>
        </is>
      </c>
      <c r="G37" s="21" t="n">
        <v>-7020820.65</v>
      </c>
      <c r="I37" s="21" t="n">
        <v>7020820.65</v>
      </c>
      <c r="J37" s="15">
        <f>A37-A38</f>
        <v/>
      </c>
    </row>
    <row r="38">
      <c r="A38" s="29" t="n">
        <v>46008</v>
      </c>
      <c r="B38" s="26" t="inlineStr">
        <is>
          <t>469.0</t>
        </is>
      </c>
      <c r="C38" s="2" t="inlineStr">
        <is>
          <t>הוראת-קבע</t>
        </is>
      </c>
      <c r="D38" s="2" t="inlineStr"/>
      <c r="E38" s="26" t="inlineStr">
        <is>
          <t>600672577.0</t>
        </is>
      </c>
      <c r="F38" s="26" t="inlineStr">
        <is>
          <t>33333.0</t>
        </is>
      </c>
      <c r="G38" s="21" t="n">
        <v>1649364.44</v>
      </c>
      <c r="J38" s="15">
        <f>A38-A39</f>
        <v/>
      </c>
    </row>
    <row r="39">
      <c r="A39" s="29" t="n">
        <v>46008</v>
      </c>
      <c r="B39" s="26" t="inlineStr">
        <is>
          <t>452.0</t>
        </is>
      </c>
      <c r="C39" s="2" t="inlineStr">
        <is>
          <t>רכישה</t>
        </is>
      </c>
      <c r="D39" s="2" t="inlineStr"/>
      <c r="E39" s="26" t="inlineStr">
        <is>
          <t>4524931.0</t>
        </is>
      </c>
      <c r="F39" s="26" t="inlineStr">
        <is>
          <t>2.0</t>
        </is>
      </c>
      <c r="G39" s="21" t="n">
        <v>83076000</v>
      </c>
      <c r="I39" s="21" t="n">
        <v>1649364.44</v>
      </c>
      <c r="J39" s="15">
        <f>A39-A40</f>
        <v/>
      </c>
    </row>
    <row r="40">
      <c r="A40" s="29" t="n">
        <v>46008</v>
      </c>
      <c r="B40" s="26" t="inlineStr">
        <is>
          <t>142.0</t>
        </is>
      </c>
      <c r="C40" s="2" t="inlineStr">
        <is>
          <t>המרה</t>
        </is>
      </c>
      <c r="D40" s="2" t="inlineStr"/>
      <c r="E40" s="26" t="inlineStr">
        <is>
          <t>4526389.0</t>
        </is>
      </c>
      <c r="F40" s="26" t="inlineStr">
        <is>
          <t>1.0</t>
        </is>
      </c>
      <c r="H40" s="21" t="n">
        <v>1596732.44</v>
      </c>
      <c r="I40" s="21" t="n">
        <v>84725364.44</v>
      </c>
      <c r="J40" s="15">
        <f>A40-A41</f>
        <v/>
      </c>
    </row>
    <row r="41">
      <c r="A41" s="29" t="n">
        <v>46008</v>
      </c>
      <c r="B41" s="26" t="inlineStr">
        <is>
          <t>142.0</t>
        </is>
      </c>
      <c r="C41" s="2" t="inlineStr">
        <is>
          <t>ספוט שקל</t>
        </is>
      </c>
      <c r="D41" s="2" t="inlineStr"/>
      <c r="E41" s="26" t="inlineStr">
        <is>
          <t>4521928.0</t>
        </is>
      </c>
      <c r="F41" s="26" t="inlineStr">
        <is>
          <t>4.0</t>
        </is>
      </c>
      <c r="H41" s="21" t="n">
        <v>83128632</v>
      </c>
      <c r="I41" s="21" t="n">
        <v>83128632</v>
      </c>
      <c r="J41" s="15">
        <f>A41-A42</f>
        <v/>
      </c>
    </row>
    <row r="42">
      <c r="A42" s="29" t="n">
        <v>46007</v>
      </c>
      <c r="B42" s="26" t="inlineStr">
        <is>
          <t>469.0</t>
        </is>
      </c>
      <c r="C42" s="2" t="inlineStr">
        <is>
          <t>הוראת-קבע</t>
        </is>
      </c>
      <c r="D42" s="2" t="inlineStr"/>
      <c r="E42" s="26" t="inlineStr">
        <is>
          <t>600672577.0</t>
        </is>
      </c>
      <c r="F42" s="26" t="inlineStr">
        <is>
          <t>33333.0</t>
        </is>
      </c>
      <c r="G42" s="21" t="n">
        <v>77684049.8</v>
      </c>
      <c r="J42" s="15">
        <f>A42-A43</f>
        <v/>
      </c>
    </row>
    <row r="43">
      <c r="A43" s="29" t="n">
        <v>46007</v>
      </c>
      <c r="B43" s="26" t="inlineStr">
        <is>
          <t>452.0</t>
        </is>
      </c>
      <c r="C43" s="2" t="inlineStr">
        <is>
          <t>החלף מטבע</t>
        </is>
      </c>
      <c r="D43" s="2" t="inlineStr"/>
      <c r="E43" s="26" t="inlineStr">
        <is>
          <t>773736.0</t>
        </is>
      </c>
      <c r="F43" s="26" t="inlineStr">
        <is>
          <t>22.0</t>
        </is>
      </c>
      <c r="G43" s="21" t="n">
        <v>1428517.33</v>
      </c>
      <c r="I43" s="21" t="n">
        <v>77684049.8</v>
      </c>
      <c r="J43" s="15">
        <f>A43-A44</f>
        <v/>
      </c>
    </row>
    <row r="44">
      <c r="A44" s="29" t="n">
        <v>46007</v>
      </c>
      <c r="B44" s="26" t="inlineStr">
        <is>
          <t>452.0</t>
        </is>
      </c>
      <c r="C44" s="2" t="inlineStr">
        <is>
          <t>רכישה</t>
        </is>
      </c>
      <c r="D44" s="2" t="inlineStr"/>
      <c r="E44" s="26" t="inlineStr">
        <is>
          <t>4522725.0</t>
        </is>
      </c>
      <c r="F44" s="26" t="inlineStr">
        <is>
          <t>2.0</t>
        </is>
      </c>
      <c r="G44" s="21" t="n">
        <v>490708.35</v>
      </c>
      <c r="I44" s="21" t="n">
        <v>79112567.13</v>
      </c>
      <c r="J44" s="15">
        <f>A44-A45</f>
        <v/>
      </c>
    </row>
    <row r="45">
      <c r="A45" s="29" t="n">
        <v>46007</v>
      </c>
      <c r="B45" s="26" t="inlineStr">
        <is>
          <t>452.0</t>
        </is>
      </c>
      <c r="C45" s="2" t="inlineStr">
        <is>
          <t>רכישה</t>
        </is>
      </c>
      <c r="D45" s="2" t="inlineStr"/>
      <c r="E45" s="26" t="inlineStr">
        <is>
          <t>4521927.0</t>
        </is>
      </c>
      <c r="F45" s="26" t="inlineStr">
        <is>
          <t>2.0</t>
        </is>
      </c>
      <c r="G45" s="21" t="n">
        <v>83127600</v>
      </c>
      <c r="I45" s="21" t="n">
        <v>79603275.48</v>
      </c>
      <c r="J45" s="15">
        <f>A45-A46</f>
        <v/>
      </c>
    </row>
    <row r="46">
      <c r="A46" s="29" t="n">
        <v>46007</v>
      </c>
      <c r="B46" s="26" t="inlineStr">
        <is>
          <t>452.0</t>
        </is>
      </c>
      <c r="C46" s="2" t="inlineStr">
        <is>
          <t>ספוט שקל</t>
        </is>
      </c>
      <c r="D46" s="2" t="inlineStr"/>
      <c r="E46" s="26" t="inlineStr">
        <is>
          <t>4520809.0</t>
        </is>
      </c>
      <c r="F46" s="26" t="inlineStr">
        <is>
          <t>4.0</t>
        </is>
      </c>
      <c r="G46" s="21" t="n">
        <v>576900000</v>
      </c>
      <c r="I46" s="21" t="n">
        <v>162730875.48</v>
      </c>
      <c r="J46" s="15">
        <f>A46-A47</f>
        <v/>
      </c>
    </row>
    <row r="47">
      <c r="A47" s="29" t="n">
        <v>46007</v>
      </c>
      <c r="B47" s="26" t="inlineStr">
        <is>
          <t>142.0</t>
        </is>
      </c>
      <c r="C47" s="2" t="inlineStr">
        <is>
          <t>ספוט שקל</t>
        </is>
      </c>
      <c r="D47" s="2" t="inlineStr"/>
      <c r="E47" s="26" t="inlineStr">
        <is>
          <t>4516880.0</t>
        </is>
      </c>
      <c r="F47" s="26" t="inlineStr">
        <is>
          <t>4.0</t>
        </is>
      </c>
      <c r="H47" s="21" t="n">
        <v>739630875.48</v>
      </c>
      <c r="I47" s="21" t="n">
        <v>739630875.48</v>
      </c>
      <c r="J47" s="15">
        <f>A47-A48</f>
        <v/>
      </c>
    </row>
    <row r="48">
      <c r="A48" s="29" t="n">
        <v>46006</v>
      </c>
      <c r="B48" s="26" t="inlineStr">
        <is>
          <t>469.0</t>
        </is>
      </c>
      <c r="C48" s="2" t="inlineStr">
        <is>
          <t>הוראת-קבע</t>
        </is>
      </c>
      <c r="D48" s="2" t="inlineStr"/>
      <c r="E48" s="26" t="inlineStr">
        <is>
          <t>600672577.0</t>
        </is>
      </c>
      <c r="F48" s="26" t="inlineStr">
        <is>
          <t>33333.0</t>
        </is>
      </c>
      <c r="G48" s="21" t="n">
        <v>5341127.08</v>
      </c>
      <c r="J48" s="15">
        <f>A48-A49</f>
        <v/>
      </c>
    </row>
    <row r="49">
      <c r="A49" s="29" t="n">
        <v>46006</v>
      </c>
      <c r="B49" s="26" t="inlineStr">
        <is>
          <t>452.0</t>
        </is>
      </c>
      <c r="C49" s="2" t="inlineStr">
        <is>
          <t>ספוט שקל</t>
        </is>
      </c>
      <c r="D49" s="2" t="inlineStr"/>
      <c r="E49" s="26" t="inlineStr">
        <is>
          <t>4516879.0</t>
        </is>
      </c>
      <c r="F49" s="26" t="inlineStr">
        <is>
          <t>4.0</t>
        </is>
      </c>
      <c r="G49" s="21" t="n">
        <v>739623948</v>
      </c>
      <c r="I49" s="21" t="n">
        <v>5341127.08</v>
      </c>
      <c r="J49" s="15">
        <f>A49-A50</f>
        <v/>
      </c>
    </row>
    <row r="50">
      <c r="A50" s="29" t="n">
        <v>46006</v>
      </c>
      <c r="B50" s="26" t="inlineStr">
        <is>
          <t>142.0</t>
        </is>
      </c>
      <c r="C50" s="2" t="inlineStr">
        <is>
          <t>ספוט שקל</t>
        </is>
      </c>
      <c r="D50" s="2" t="inlineStr"/>
      <c r="E50" s="26" t="inlineStr">
        <is>
          <t>4513366.0</t>
        </is>
      </c>
      <c r="F50" s="26" t="inlineStr">
        <is>
          <t>4.0</t>
        </is>
      </c>
      <c r="H50" s="21" t="n">
        <v>742384131.08</v>
      </c>
      <c r="I50" s="21" t="n">
        <v>744965075.08</v>
      </c>
      <c r="J50" s="15">
        <f>A50-A51</f>
        <v/>
      </c>
    </row>
    <row r="51">
      <c r="A51" s="29" t="n">
        <v>46006</v>
      </c>
      <c r="B51" s="26" t="inlineStr">
        <is>
          <t>142.0</t>
        </is>
      </c>
      <c r="C51" s="2" t="inlineStr">
        <is>
          <t>ספוט שקל</t>
        </is>
      </c>
      <c r="D51" s="2" t="inlineStr"/>
      <c r="E51" s="26" t="inlineStr">
        <is>
          <t>4513363.0</t>
        </is>
      </c>
      <c r="F51" s="26" t="inlineStr">
        <is>
          <t>4.0</t>
        </is>
      </c>
      <c r="H51" s="21" t="n">
        <v>2580944</v>
      </c>
      <c r="I51" s="21" t="n">
        <v>2580944</v>
      </c>
      <c r="J51" s="15">
        <f>A51-A52</f>
        <v/>
      </c>
    </row>
    <row r="52">
      <c r="A52" s="29" t="n">
        <v>46005</v>
      </c>
      <c r="B52" s="26" t="inlineStr">
        <is>
          <t>469.0</t>
        </is>
      </c>
      <c r="C52" s="2" t="inlineStr">
        <is>
          <t>הוראת-קבע</t>
        </is>
      </c>
      <c r="D52" s="2" t="inlineStr"/>
      <c r="E52" s="26" t="inlineStr">
        <is>
          <t>600672577.0</t>
        </is>
      </c>
      <c r="F52" s="26" t="inlineStr">
        <is>
          <t>33333.0</t>
        </is>
      </c>
      <c r="G52" s="21" t="n">
        <v>-46974581.71</v>
      </c>
      <c r="J52" s="15">
        <f>A52-A53</f>
        <v/>
      </c>
    </row>
    <row r="53">
      <c r="A53" s="29" t="n">
        <v>46005</v>
      </c>
      <c r="B53" s="26" t="inlineStr">
        <is>
          <t>302.0</t>
        </is>
      </c>
      <c r="C53" s="2" t="inlineStr">
        <is>
          <t>העברה לעצמי (תאריך ערך: 28/11)</t>
        </is>
      </c>
      <c r="D53" s="2" t="inlineStr"/>
      <c r="E53" s="26" t="inlineStr">
        <is>
          <t>34800244.0</t>
        </is>
      </c>
      <c r="F53" s="26" t="inlineStr">
        <is>
          <t>32.0</t>
        </is>
      </c>
      <c r="G53" s="21" t="n">
        <v>199622400</v>
      </c>
      <c r="I53" s="21" t="n">
        <v>-46974581.71</v>
      </c>
      <c r="J53" s="15">
        <f>A53-A54</f>
        <v/>
      </c>
    </row>
    <row r="54">
      <c r="A54" s="29" t="n">
        <v>46005</v>
      </c>
      <c r="B54" s="26" t="inlineStr">
        <is>
          <t>256.0</t>
        </is>
      </c>
      <c r="C54" s="2" t="inlineStr">
        <is>
          <t>העברה (תאריך ערך: 11/12)</t>
        </is>
      </c>
      <c r="D54" s="2" t="inlineStr"/>
      <c r="E54" s="26" t="inlineStr">
        <is>
          <t>34800380.0</t>
        </is>
      </c>
      <c r="F54" s="26" t="inlineStr">
        <is>
          <t>32.0</t>
        </is>
      </c>
      <c r="H54" s="21" t="n">
        <v>152647818.29</v>
      </c>
      <c r="I54" s="21" t="n">
        <v>152647818.29</v>
      </c>
      <c r="J54" s="15">
        <f>A54-A55</f>
        <v/>
      </c>
    </row>
    <row r="55">
      <c r="A55" s="29" t="n">
        <v>46003</v>
      </c>
      <c r="B55" s="26" t="inlineStr">
        <is>
          <t>452.0</t>
        </is>
      </c>
      <c r="C55" s="2" t="inlineStr">
        <is>
          <t>ספוט שקל</t>
        </is>
      </c>
      <c r="D55" s="2" t="inlineStr"/>
      <c r="E55" s="26" t="inlineStr">
        <is>
          <t>4513365.0</t>
        </is>
      </c>
      <c r="F55" s="26" t="inlineStr">
        <is>
          <t>4.0</t>
        </is>
      </c>
      <c r="G55" s="21" t="n">
        <v>742354216</v>
      </c>
      <c r="J55" s="15">
        <f>A55-A56</f>
        <v/>
      </c>
    </row>
    <row r="56">
      <c r="A56" s="29" t="n">
        <v>46003</v>
      </c>
      <c r="B56" s="26" t="inlineStr">
        <is>
          <t>142.0</t>
        </is>
      </c>
      <c r="C56" s="2" t="inlineStr">
        <is>
          <t>ספוט שקל</t>
        </is>
      </c>
      <c r="D56" s="2" t="inlineStr"/>
      <c r="E56" s="26" t="inlineStr">
        <is>
          <t>4509552.0</t>
        </is>
      </c>
      <c r="F56" s="26" t="inlineStr">
        <is>
          <t>4.0</t>
        </is>
      </c>
      <c r="H56" s="21" t="n">
        <v>741447558.96</v>
      </c>
      <c r="I56" s="21" t="n">
        <v>742354216</v>
      </c>
      <c r="J56" s="15">
        <f>A56-A57</f>
        <v/>
      </c>
    </row>
    <row r="57">
      <c r="A57" s="29" t="n">
        <v>46003</v>
      </c>
      <c r="B57" s="26" t="inlineStr">
        <is>
          <t>469.0</t>
        </is>
      </c>
      <c r="C57" s="2" t="inlineStr">
        <is>
          <t>הוראת-קבע</t>
        </is>
      </c>
      <c r="D57" s="2" t="inlineStr"/>
      <c r="E57" s="26" t="inlineStr">
        <is>
          <t>600672577.0</t>
        </is>
      </c>
      <c r="F57" s="26" t="inlineStr">
        <is>
          <t>33333.0</t>
        </is>
      </c>
      <c r="G57" s="21" t="n">
        <v>-906657.04</v>
      </c>
      <c r="I57" s="21" t="n">
        <v>906657.04</v>
      </c>
      <c r="J57" s="15">
        <f>A57-A58</f>
        <v/>
      </c>
    </row>
    <row r="58">
      <c r="A58" s="29" t="n">
        <v>46002</v>
      </c>
      <c r="B58" s="26" t="inlineStr">
        <is>
          <t>469.0</t>
        </is>
      </c>
      <c r="C58" s="2" t="inlineStr">
        <is>
          <t>הוראת-קבע</t>
        </is>
      </c>
      <c r="D58" s="2" t="inlineStr"/>
      <c r="E58" s="26" t="inlineStr">
        <is>
          <t>600672577.0</t>
        </is>
      </c>
      <c r="F58" s="26" t="inlineStr">
        <is>
          <t>33333.0</t>
        </is>
      </c>
      <c r="G58" s="21" t="n">
        <v>152647818.29</v>
      </c>
      <c r="J58" s="15">
        <f>A58-A59</f>
        <v/>
      </c>
    </row>
    <row r="59">
      <c r="A59" s="29" t="n">
        <v>46002</v>
      </c>
      <c r="B59" s="26" t="inlineStr">
        <is>
          <t>452.0</t>
        </is>
      </c>
      <c r="C59" s="2" t="inlineStr">
        <is>
          <t>רכישה</t>
        </is>
      </c>
      <c r="D59" s="2" t="inlineStr"/>
      <c r="E59" s="26" t="inlineStr">
        <is>
          <t>4513362.0</t>
        </is>
      </c>
      <c r="F59" s="26" t="inlineStr">
        <is>
          <t>2.0</t>
        </is>
      </c>
      <c r="G59" s="21" t="n">
        <v>2580800</v>
      </c>
      <c r="I59" s="21" t="n">
        <v>152647818.29</v>
      </c>
      <c r="J59" s="15">
        <f>A59-A60</f>
        <v/>
      </c>
    </row>
    <row r="60">
      <c r="A60" s="29" t="n">
        <v>46002</v>
      </c>
      <c r="B60" s="26" t="inlineStr">
        <is>
          <t>126.0</t>
        </is>
      </c>
      <c r="C60" s="2" t="inlineStr">
        <is>
          <t>החלף מטבע (תאריך ערך: 28/11)</t>
        </is>
      </c>
      <c r="D60" s="2" t="inlineStr"/>
      <c r="E60" s="26" t="inlineStr">
        <is>
          <t>922413.0</t>
        </is>
      </c>
      <c r="F60" s="26" t="inlineStr">
        <is>
          <t>22.0</t>
        </is>
      </c>
      <c r="H60" s="21" t="n">
        <v>199622400</v>
      </c>
      <c r="I60" s="21" t="n">
        <v>155228618.29</v>
      </c>
      <c r="J60" s="15">
        <f>A60-A61</f>
        <v/>
      </c>
    </row>
    <row r="61">
      <c r="A61" s="29" t="n">
        <v>46001</v>
      </c>
      <c r="B61" s="26" t="inlineStr">
        <is>
          <t>452.0</t>
        </is>
      </c>
      <c r="C61" s="2" t="inlineStr">
        <is>
          <t>רכישה</t>
        </is>
      </c>
      <c r="D61" s="2" t="inlineStr"/>
      <c r="E61" s="26" t="inlineStr">
        <is>
          <t>4509551.0</t>
        </is>
      </c>
      <c r="F61" s="26" t="inlineStr">
        <is>
          <t>2.0</t>
        </is>
      </c>
      <c r="G61" s="21" t="n">
        <v>741433752</v>
      </c>
      <c r="I61" s="21" t="n">
        <v>-44393781.71</v>
      </c>
      <c r="J61" s="15">
        <f>A61-A62</f>
        <v/>
      </c>
    </row>
    <row r="62">
      <c r="A62" s="29" t="n">
        <v>46001</v>
      </c>
      <c r="B62" s="26" t="inlineStr">
        <is>
          <t>142.0</t>
        </is>
      </c>
      <c r="C62" s="2" t="inlineStr">
        <is>
          <t>ספוט שקל</t>
        </is>
      </c>
      <c r="D62" s="2" t="inlineStr"/>
      <c r="E62" s="26" t="inlineStr">
        <is>
          <t>4506160.0</t>
        </is>
      </c>
      <c r="F62" s="26" t="inlineStr">
        <is>
          <t>4.0</t>
        </is>
      </c>
      <c r="H62" s="21" t="n">
        <v>899467461.04</v>
      </c>
      <c r="I62" s="21" t="n">
        <v>697039970.29</v>
      </c>
      <c r="J62" s="15">
        <f>A62-A63</f>
        <v/>
      </c>
    </row>
    <row r="63">
      <c r="A63" s="29" t="n">
        <v>46000</v>
      </c>
      <c r="B63" s="26" t="inlineStr">
        <is>
          <t>452.0</t>
        </is>
      </c>
      <c r="C63" s="2" t="inlineStr">
        <is>
          <t>רכישה</t>
        </is>
      </c>
      <c r="D63" s="2" t="inlineStr"/>
      <c r="E63" s="26" t="inlineStr">
        <is>
          <t>4506159.0</t>
        </is>
      </c>
      <c r="F63" s="26" t="inlineStr">
        <is>
          <t>2.0</t>
        </is>
      </c>
      <c r="G63" s="21" t="n">
        <v>899459071.87</v>
      </c>
      <c r="I63" s="21" t="n">
        <v>-202427490.75</v>
      </c>
      <c r="J63" s="15">
        <f>A63-A64</f>
        <v/>
      </c>
    </row>
    <row r="64">
      <c r="A64" s="29" t="n">
        <v>46000</v>
      </c>
      <c r="B64" s="26" t="inlineStr">
        <is>
          <t>142.0</t>
        </is>
      </c>
      <c r="C64" s="2" t="inlineStr">
        <is>
          <t>ספוט שקל</t>
        </is>
      </c>
      <c r="D64" s="2" t="inlineStr"/>
      <c r="E64" s="26" t="inlineStr">
        <is>
          <t>4502547.0</t>
        </is>
      </c>
      <c r="F64" s="26" t="inlineStr">
        <is>
          <t>4.0</t>
        </is>
      </c>
      <c r="H64" s="21" t="n">
        <v>900695930.99</v>
      </c>
      <c r="I64" s="21" t="n">
        <v>697031581.12</v>
      </c>
      <c r="J64" s="15">
        <f>A64-A65</f>
        <v/>
      </c>
    </row>
    <row r="65">
      <c r="A65" s="29" t="n">
        <v>45999</v>
      </c>
      <c r="B65" s="26" t="inlineStr">
        <is>
          <t>452.0</t>
        </is>
      </c>
      <c r="C65" s="2" t="inlineStr">
        <is>
          <t>החלף מטבע</t>
        </is>
      </c>
      <c r="D65" s="2" t="inlineStr"/>
      <c r="E65" s="26" t="inlineStr">
        <is>
          <t>840632.0</t>
        </is>
      </c>
      <c r="F65" s="26" t="inlineStr">
        <is>
          <t>20.0</t>
        </is>
      </c>
      <c r="G65" s="21" t="n">
        <v>456658.03</v>
      </c>
      <c r="I65" s="21" t="n">
        <v>-203664349.87</v>
      </c>
      <c r="J65" s="15">
        <f>A65-A66</f>
        <v/>
      </c>
    </row>
    <row r="66">
      <c r="A66" s="29" t="n">
        <v>45999</v>
      </c>
      <c r="B66" s="26" t="inlineStr">
        <is>
          <t>452.0</t>
        </is>
      </c>
      <c r="C66" s="2" t="inlineStr">
        <is>
          <t>רכישה</t>
        </is>
      </c>
      <c r="D66" s="2" t="inlineStr"/>
      <c r="E66" s="26" t="inlineStr">
        <is>
          <t>4502546.0</t>
        </is>
      </c>
      <c r="F66" s="26" t="inlineStr">
        <is>
          <t>2.0</t>
        </is>
      </c>
      <c r="G66" s="21" t="n">
        <v>900691741.73</v>
      </c>
      <c r="I66" s="21" t="n">
        <v>-203207691.84</v>
      </c>
      <c r="J66" s="15">
        <f>A66-A67</f>
        <v/>
      </c>
    </row>
    <row r="67">
      <c r="A67" s="29" t="n">
        <v>45999</v>
      </c>
      <c r="B67" s="26" t="inlineStr">
        <is>
          <t>142.0</t>
        </is>
      </c>
      <c r="C67" s="2" t="inlineStr">
        <is>
          <t>ספוט שקל</t>
        </is>
      </c>
      <c r="D67" s="2" t="inlineStr"/>
      <c r="E67" s="26" t="inlineStr">
        <is>
          <t>4500484.0</t>
        </is>
      </c>
      <c r="F67" s="26" t="inlineStr">
        <is>
          <t>4.0</t>
        </is>
      </c>
      <c r="H67" s="21" t="n">
        <v>804272490</v>
      </c>
      <c r="I67" s="21" t="n">
        <v>697484049.89</v>
      </c>
      <c r="J67" s="15">
        <f>A67-A68</f>
        <v/>
      </c>
    </row>
    <row r="68">
      <c r="A68" s="29" t="n">
        <v>45996</v>
      </c>
      <c r="B68" s="26" t="inlineStr">
        <is>
          <t>471.0</t>
        </is>
      </c>
      <c r="C68" s="2" t="inlineStr">
        <is>
          <t>ני"ע-קניה</t>
        </is>
      </c>
      <c r="D68" s="2" t="inlineStr"/>
      <c r="E68" s="26" t="inlineStr">
        <is>
          <t>2310282.0</t>
        </is>
      </c>
      <c r="F68" s="26" t="inlineStr">
        <is>
          <t>1107.0</t>
        </is>
      </c>
      <c r="G68" s="21" t="n">
        <v>10366107.77</v>
      </c>
      <c r="I68" s="21" t="n">
        <v>-106788440.11</v>
      </c>
      <c r="J68" s="15">
        <f>A68-A69</f>
        <v/>
      </c>
    </row>
    <row r="69">
      <c r="A69" s="29" t="n">
        <v>45996</v>
      </c>
      <c r="B69" s="26" t="inlineStr">
        <is>
          <t>452.0</t>
        </is>
      </c>
      <c r="C69" s="2" t="inlineStr">
        <is>
          <t>רכישה</t>
        </is>
      </c>
      <c r="D69" s="2" t="inlineStr"/>
      <c r="E69" s="26" t="inlineStr">
        <is>
          <t>4500483.0</t>
        </is>
      </c>
      <c r="F69" s="26" t="inlineStr">
        <is>
          <t>2.0</t>
        </is>
      </c>
      <c r="G69" s="21" t="n">
        <v>804270000</v>
      </c>
      <c r="I69" s="21" t="n">
        <v>-96422332.34</v>
      </c>
      <c r="J69" s="15">
        <f>A69-A70</f>
        <v/>
      </c>
    </row>
    <row r="70">
      <c r="A70" s="29" t="n">
        <v>45996</v>
      </c>
      <c r="B70" s="26" t="inlineStr">
        <is>
          <t>142.0</t>
        </is>
      </c>
      <c r="C70" s="2" t="inlineStr">
        <is>
          <t>החלף ריבית</t>
        </is>
      </c>
      <c r="D70" s="2" t="inlineStr"/>
      <c r="E70" s="26" t="inlineStr">
        <is>
          <t>742502.0</t>
        </is>
      </c>
      <c r="F70" s="26" t="inlineStr">
        <is>
          <t>20.0</t>
        </is>
      </c>
      <c r="H70" s="21" t="n">
        <v>673014.5600000001</v>
      </c>
      <c r="I70" s="21" t="n">
        <v>707847667.66</v>
      </c>
      <c r="J70" s="15">
        <f>A70-A71</f>
        <v/>
      </c>
    </row>
    <row r="71">
      <c r="A71" s="29" t="n">
        <v>45996</v>
      </c>
      <c r="B71" s="26" t="inlineStr">
        <is>
          <t>142.0</t>
        </is>
      </c>
      <c r="C71" s="2" t="inlineStr">
        <is>
          <t>ספוט שקל</t>
        </is>
      </c>
      <c r="D71" s="2" t="inlineStr"/>
      <c r="E71" s="26" t="inlineStr">
        <is>
          <t>4498154.0</t>
        </is>
      </c>
      <c r="F71" s="26" t="inlineStr">
        <is>
          <t>4.0</t>
        </is>
      </c>
      <c r="H71" s="21" t="n">
        <v>743099873.26</v>
      </c>
      <c r="I71" s="21" t="n">
        <v>707174653.1</v>
      </c>
      <c r="J71" s="15">
        <f>A71-A72</f>
        <v/>
      </c>
    </row>
    <row r="72">
      <c r="A72" s="29" t="n">
        <v>45995</v>
      </c>
      <c r="B72" s="26" t="inlineStr">
        <is>
          <t>452.0</t>
        </is>
      </c>
      <c r="C72" s="2" t="inlineStr">
        <is>
          <t>רכישה</t>
        </is>
      </c>
      <c r="D72" s="2" t="inlineStr"/>
      <c r="E72" s="26" t="inlineStr">
        <is>
          <t>4498153.0</t>
        </is>
      </c>
      <c r="F72" s="26" t="inlineStr">
        <is>
          <t>2.0</t>
        </is>
      </c>
      <c r="G72" s="21" t="n">
        <v>743097578.6900001</v>
      </c>
      <c r="I72" s="21" t="n">
        <v>-35925220.16</v>
      </c>
      <c r="J72" s="15">
        <f>A72-A73</f>
        <v/>
      </c>
    </row>
    <row r="73">
      <c r="A73" s="29" t="n">
        <v>45995</v>
      </c>
      <c r="B73" s="26" t="inlineStr">
        <is>
          <t>452.0</t>
        </is>
      </c>
      <c r="C73" s="2" t="inlineStr">
        <is>
          <t>ע' העברת מט"ח</t>
        </is>
      </c>
      <c r="D73" s="2" t="inlineStr"/>
      <c r="E73" s="26" t="inlineStr">
        <is>
          <t>213172.0</t>
        </is>
      </c>
      <c r="F73" s="26" t="inlineStr">
        <is>
          <t>79403.0</t>
        </is>
      </c>
      <c r="G73" s="21" t="n">
        <v>59.09</v>
      </c>
      <c r="I73" s="21" t="n">
        <v>707172358.53</v>
      </c>
      <c r="J73" s="15">
        <f>A73-A74</f>
        <v/>
      </c>
    </row>
    <row r="74">
      <c r="A74" s="29" t="n">
        <v>45995</v>
      </c>
      <c r="B74" s="26" t="inlineStr">
        <is>
          <t>142.0</t>
        </is>
      </c>
      <c r="C74" s="2" t="inlineStr">
        <is>
          <t>ספוט שקל</t>
        </is>
      </c>
      <c r="D74" s="2" t="inlineStr"/>
      <c r="E74" s="26" t="inlineStr">
        <is>
          <t>4494416.0</t>
        </is>
      </c>
      <c r="F74" s="26" t="inlineStr">
        <is>
          <t>4.0</t>
        </is>
      </c>
      <c r="H74" s="21" t="n">
        <v>746904464.41</v>
      </c>
      <c r="I74" s="21" t="n">
        <v>707172417.62</v>
      </c>
      <c r="J74" s="15">
        <f>A74-A75</f>
        <v/>
      </c>
    </row>
    <row r="75">
      <c r="A75" s="29" t="n">
        <v>45994</v>
      </c>
      <c r="B75" s="26" t="inlineStr">
        <is>
          <t>452.0</t>
        </is>
      </c>
      <c r="C75" s="2" t="inlineStr">
        <is>
          <t>החלף ריבית</t>
        </is>
      </c>
      <c r="D75" s="2" t="inlineStr"/>
      <c r="E75" s="26" t="inlineStr">
        <is>
          <t>741616.0</t>
        </is>
      </c>
      <c r="F75" s="26" t="inlineStr">
        <is>
          <t>20.0</t>
        </is>
      </c>
      <c r="G75" s="21" t="n">
        <v>168461.57</v>
      </c>
      <c r="I75" s="21" t="n">
        <v>-39732046.79</v>
      </c>
      <c r="J75" s="15">
        <f>A75-A76</f>
        <v/>
      </c>
    </row>
    <row r="76">
      <c r="A76" s="29" t="n">
        <v>45994</v>
      </c>
      <c r="B76" s="26" t="inlineStr">
        <is>
          <t>452.0</t>
        </is>
      </c>
      <c r="C76" s="2" t="inlineStr">
        <is>
          <t>רכישה</t>
        </is>
      </c>
      <c r="D76" s="2" t="inlineStr"/>
      <c r="E76" s="26" t="inlineStr">
        <is>
          <t>4494415.0</t>
        </is>
      </c>
      <c r="F76" s="26" t="inlineStr">
        <is>
          <t>2.0</t>
        </is>
      </c>
      <c r="G76" s="21" t="n">
        <v>746902162.71</v>
      </c>
      <c r="I76" s="21" t="n">
        <v>-39563585.22</v>
      </c>
      <c r="J76" s="15">
        <f>A76-A77</f>
        <v/>
      </c>
    </row>
    <row r="77">
      <c r="A77" s="29" t="n">
        <v>45994</v>
      </c>
      <c r="B77" s="26" t="inlineStr">
        <is>
          <t>142.0</t>
        </is>
      </c>
      <c r="C77" s="2" t="inlineStr">
        <is>
          <t>החלף ריבית</t>
        </is>
      </c>
      <c r="D77" s="2" t="inlineStr"/>
      <c r="E77" s="26" t="inlineStr">
        <is>
          <t>741868.0</t>
        </is>
      </c>
      <c r="F77" s="26" t="inlineStr">
        <is>
          <t>20.0</t>
        </is>
      </c>
      <c r="H77" s="21" t="n">
        <v>168461.57</v>
      </c>
      <c r="I77" s="21" t="n">
        <v>707338577.49</v>
      </c>
      <c r="J77" s="15">
        <f>A77-A78</f>
        <v/>
      </c>
    </row>
    <row r="78">
      <c r="A78" s="29" t="n">
        <v>45994</v>
      </c>
      <c r="B78" s="26" t="inlineStr">
        <is>
          <t>142.0</t>
        </is>
      </c>
      <c r="C78" s="2" t="inlineStr">
        <is>
          <t>ספוט שקל</t>
        </is>
      </c>
      <c r="D78" s="2" t="inlineStr"/>
      <c r="E78" s="26" t="inlineStr">
        <is>
          <t>4491023.0</t>
        </is>
      </c>
      <c r="F78" s="26" t="inlineStr">
        <is>
          <t>4.0</t>
        </is>
      </c>
      <c r="H78" s="21" t="n">
        <v>749828765.16</v>
      </c>
      <c r="I78" s="21" t="n">
        <v>707170115.92</v>
      </c>
      <c r="J78" s="15">
        <f>A78-A79</f>
        <v/>
      </c>
    </row>
    <row r="79">
      <c r="A79" s="29" t="n">
        <v>45993</v>
      </c>
      <c r="B79" s="26" t="inlineStr">
        <is>
          <t>452.0</t>
        </is>
      </c>
      <c r="C79" s="2" t="inlineStr">
        <is>
          <t>רכישה</t>
        </is>
      </c>
      <c r="D79" s="2" t="inlineStr"/>
      <c r="E79" s="26" t="inlineStr">
        <is>
          <t>4491022.0</t>
        </is>
      </c>
      <c r="F79" s="26" t="inlineStr">
        <is>
          <t>2.0</t>
        </is>
      </c>
      <c r="G79" s="21" t="n">
        <v>749828765.16</v>
      </c>
      <c r="I79" s="21" t="n">
        <v>-42658649.24</v>
      </c>
      <c r="J79" s="15">
        <f>A79-A80</f>
        <v/>
      </c>
    </row>
    <row r="80">
      <c r="A80" s="29" t="n">
        <v>45993</v>
      </c>
      <c r="B80" s="26" t="inlineStr">
        <is>
          <t>142.0</t>
        </is>
      </c>
      <c r="C80" s="2" t="inlineStr">
        <is>
          <t>ספוט שקל</t>
        </is>
      </c>
      <c r="D80" s="2" t="inlineStr"/>
      <c r="E80" s="26" t="inlineStr">
        <is>
          <t>4487702.0</t>
        </is>
      </c>
      <c r="F80" s="26" t="inlineStr">
        <is>
          <t>4.0</t>
        </is>
      </c>
      <c r="H80" s="21" t="n">
        <v>552557060.9400001</v>
      </c>
      <c r="I80" s="21" t="n">
        <v>707170115.92</v>
      </c>
      <c r="J80" s="15">
        <f>A80-A81</f>
        <v/>
      </c>
    </row>
    <row r="81">
      <c r="A81" s="29" t="n">
        <v>45993</v>
      </c>
      <c r="B81" s="26" t="inlineStr">
        <is>
          <t>469.0</t>
        </is>
      </c>
      <c r="C81" s="2" t="inlineStr">
        <is>
          <t>הוראת-קבע</t>
        </is>
      </c>
      <c r="D81" s="2" t="inlineStr"/>
      <c r="E81" s="26" t="inlineStr">
        <is>
          <t>600672577.0</t>
        </is>
      </c>
      <c r="F81" s="26" t="inlineStr">
        <is>
          <t>33333.0</t>
        </is>
      </c>
      <c r="G81" s="21" t="n">
        <v>-173297405.11</v>
      </c>
      <c r="I81" s="21" t="n">
        <v>154613054.98</v>
      </c>
      <c r="J81" s="15">
        <f>A81-A82</f>
        <v/>
      </c>
    </row>
    <row r="82">
      <c r="A82" s="29" t="n">
        <v>45992</v>
      </c>
      <c r="B82" s="26" t="inlineStr">
        <is>
          <t>452.0</t>
        </is>
      </c>
      <c r="C82" s="2" t="inlineStr">
        <is>
          <t>רכישה</t>
        </is>
      </c>
      <c r="D82" s="2" t="inlineStr"/>
      <c r="E82" s="26" t="inlineStr">
        <is>
          <t>4487701.0</t>
        </is>
      </c>
      <c r="F82" s="26" t="inlineStr">
        <is>
          <t>2.0</t>
        </is>
      </c>
      <c r="G82" s="21" t="n">
        <v>552557060.9400001</v>
      </c>
      <c r="I82" s="21" t="n">
        <v>-18684350.13</v>
      </c>
      <c r="J82" s="15">
        <f>A82-A83</f>
        <v/>
      </c>
    </row>
    <row r="83">
      <c r="A83" s="29" t="n">
        <v>45992</v>
      </c>
      <c r="B83" s="26" t="inlineStr">
        <is>
          <t>452.0</t>
        </is>
      </c>
      <c r="C83" s="2" t="inlineStr">
        <is>
          <t>ספוט שקל</t>
        </is>
      </c>
      <c r="D83" s="2" t="inlineStr"/>
      <c r="E83" s="26" t="inlineStr">
        <is>
          <t>4485120.0</t>
        </is>
      </c>
      <c r="F83" s="26" t="inlineStr">
        <is>
          <t>4.0</t>
        </is>
      </c>
      <c r="G83" s="21" t="n">
        <v>32665000</v>
      </c>
      <c r="I83" s="21" t="n">
        <v>533872710.81</v>
      </c>
      <c r="J83" s="15">
        <f>A83-A84</f>
        <v/>
      </c>
    </row>
    <row r="84">
      <c r="A84" s="29" t="n">
        <v>45992</v>
      </c>
      <c r="B84" s="26" t="inlineStr">
        <is>
          <t>142.0</t>
        </is>
      </c>
      <c r="C84" s="2" t="inlineStr">
        <is>
          <t>ספוט שקל</t>
        </is>
      </c>
      <c r="D84" s="2" t="inlineStr"/>
      <c r="E84" s="26" t="inlineStr">
        <is>
          <t>4485943.0</t>
        </is>
      </c>
      <c r="F84" s="26" t="inlineStr">
        <is>
          <t>4.0</t>
        </is>
      </c>
      <c r="H84" s="21" t="n">
        <v>584974685</v>
      </c>
      <c r="I84" s="21" t="n">
        <v>566537710.8099999</v>
      </c>
      <c r="J84" s="15">
        <f>A84-A85</f>
        <v/>
      </c>
    </row>
    <row r="85">
      <c r="A85" s="29" t="n">
        <v>45992</v>
      </c>
      <c r="B85" s="26" t="inlineStr">
        <is>
          <t>121.0</t>
        </is>
      </c>
      <c r="C85" s="2" t="inlineStr">
        <is>
          <t>ני"ע-פדיון</t>
        </is>
      </c>
      <c r="D85" s="2" t="inlineStr"/>
      <c r="E85" s="26" t="inlineStr">
        <is>
          <t>2300184.0</t>
        </is>
      </c>
      <c r="F85" s="26" t="inlineStr">
        <is>
          <t>9997.0</t>
        </is>
      </c>
      <c r="H85" s="21" t="n">
        <v>641026.47</v>
      </c>
      <c r="I85" s="21" t="n">
        <v>-18436974.19</v>
      </c>
      <c r="J85" s="15">
        <f>A85-A86</f>
        <v/>
      </c>
    </row>
    <row r="86">
      <c r="A86" s="29" t="n">
        <v>45992</v>
      </c>
      <c r="B86" s="26" t="inlineStr">
        <is>
          <t>121.0</t>
        </is>
      </c>
      <c r="C86" s="2" t="inlineStr">
        <is>
          <t>ני"ע-תש' ריבית</t>
        </is>
      </c>
      <c r="D86" s="2" t="inlineStr"/>
      <c r="E86" s="26" t="inlineStr">
        <is>
          <t>2300184.0</t>
        </is>
      </c>
      <c r="F86" s="26" t="inlineStr">
        <is>
          <t>9997.0</t>
        </is>
      </c>
      <c r="H86" s="21" t="n">
        <v>7051.29</v>
      </c>
      <c r="I86" s="21" t="n">
        <v>-19078000.66</v>
      </c>
      <c r="J86" s="15">
        <f>A86-A87</f>
        <v/>
      </c>
    </row>
    <row r="87">
      <c r="A87" s="29" t="n">
        <v>45991</v>
      </c>
      <c r="B87" s="26" t="inlineStr">
        <is>
          <t>121.0</t>
        </is>
      </c>
      <c r="C87" s="2" t="inlineStr">
        <is>
          <t>ני"ע-פדיון</t>
        </is>
      </c>
      <c r="D87" s="2" t="inlineStr"/>
      <c r="E87" s="26" t="inlineStr">
        <is>
          <t>1140615.0</t>
        </is>
      </c>
      <c r="F87" s="26" t="inlineStr">
        <is>
          <t>9997.0</t>
        </is>
      </c>
      <c r="H87" s="21" t="n">
        <v>1335103.25</v>
      </c>
      <c r="I87" s="21" t="n">
        <v>-19085051.95</v>
      </c>
      <c r="J87" s="15">
        <f>A87-A88</f>
        <v/>
      </c>
    </row>
    <row r="88">
      <c r="A88" s="29" t="n">
        <v>45991</v>
      </c>
      <c r="B88" s="26" t="inlineStr">
        <is>
          <t>121.0</t>
        </is>
      </c>
      <c r="C88" s="2" t="inlineStr">
        <is>
          <t>ני"ע-תש' ריבית</t>
        </is>
      </c>
      <c r="D88" s="2" t="inlineStr"/>
      <c r="E88" s="26" t="inlineStr">
        <is>
          <t>1140615.0</t>
        </is>
      </c>
      <c r="F88" s="26" t="inlineStr">
        <is>
          <t>9997.0</t>
        </is>
      </c>
      <c r="H88" s="21" t="n">
        <v>21870.26</v>
      </c>
      <c r="I88" s="21" t="n">
        <v>-20420155.2</v>
      </c>
      <c r="J88" s="15">
        <f>A88-A89</f>
        <v/>
      </c>
    </row>
    <row r="89">
      <c r="A89" s="29" t="n">
        <v>45989</v>
      </c>
      <c r="B89" s="26" t="inlineStr">
        <is>
          <t>452.0</t>
        </is>
      </c>
      <c r="C89" s="2" t="inlineStr">
        <is>
          <t>החלף ריבית</t>
        </is>
      </c>
      <c r="D89" s="2" t="inlineStr"/>
      <c r="E89" s="26" t="inlineStr">
        <is>
          <t>869768.0</t>
        </is>
      </c>
      <c r="F89" s="26" t="inlineStr">
        <is>
          <t>20.0</t>
        </is>
      </c>
      <c r="G89" s="21" t="n">
        <v>73334.92</v>
      </c>
      <c r="I89" s="21" t="n">
        <v>-20442025.46</v>
      </c>
      <c r="J89" s="15">
        <f>A89-A90</f>
        <v/>
      </c>
    </row>
    <row r="90">
      <c r="A90" s="29" t="n">
        <v>45989</v>
      </c>
      <c r="B90" s="26" t="inlineStr">
        <is>
          <t>452.0</t>
        </is>
      </c>
      <c r="C90" s="2" t="inlineStr">
        <is>
          <t>החלף ריבית</t>
        </is>
      </c>
      <c r="D90" s="2" t="inlineStr"/>
      <c r="E90" s="26" t="inlineStr">
        <is>
          <t>741067.0</t>
        </is>
      </c>
      <c r="F90" s="26" t="inlineStr">
        <is>
          <t>20.0</t>
        </is>
      </c>
      <c r="G90" s="21" t="n">
        <v>450366.73</v>
      </c>
      <c r="I90" s="21" t="n">
        <v>-20368690.54</v>
      </c>
      <c r="J90" s="15">
        <f>A90-A91</f>
        <v/>
      </c>
    </row>
    <row r="91">
      <c r="A91" s="29" t="n">
        <v>45989</v>
      </c>
      <c r="B91" s="26" t="inlineStr">
        <is>
          <t>452.0</t>
        </is>
      </c>
      <c r="C91" s="2" t="inlineStr">
        <is>
          <t>החלף ריבית</t>
        </is>
      </c>
      <c r="D91" s="2" t="inlineStr"/>
      <c r="E91" s="26" t="inlineStr">
        <is>
          <t>740515.0</t>
        </is>
      </c>
      <c r="F91" s="26" t="inlineStr">
        <is>
          <t>20.0</t>
        </is>
      </c>
      <c r="G91" s="21" t="n">
        <v>225183.36</v>
      </c>
      <c r="I91" s="21" t="n">
        <v>-19918323.81</v>
      </c>
      <c r="J91" s="15">
        <f>A91-A92</f>
        <v/>
      </c>
    </row>
    <row r="92">
      <c r="A92" s="29" t="n">
        <v>45989</v>
      </c>
      <c r="B92" s="26" t="inlineStr">
        <is>
          <t>452.0</t>
        </is>
      </c>
      <c r="C92" s="2" t="inlineStr">
        <is>
          <t>רכישה</t>
        </is>
      </c>
      <c r="D92" s="2" t="inlineStr"/>
      <c r="E92" s="26" t="inlineStr">
        <is>
          <t>4485942.0</t>
        </is>
      </c>
      <c r="F92" s="26" t="inlineStr">
        <is>
          <t>2.0</t>
        </is>
      </c>
      <c r="G92" s="21" t="n">
        <v>584972000</v>
      </c>
      <c r="I92" s="21" t="n">
        <v>-19693140.45</v>
      </c>
      <c r="J92" s="15">
        <f>A92-A93</f>
        <v/>
      </c>
    </row>
    <row r="93">
      <c r="A93" s="29" t="n">
        <v>45989</v>
      </c>
      <c r="B93" s="26" t="inlineStr">
        <is>
          <t>142.0</t>
        </is>
      </c>
      <c r="C93" s="2" t="inlineStr">
        <is>
          <t>ספוט שקל</t>
        </is>
      </c>
      <c r="D93" s="2" t="inlineStr"/>
      <c r="E93" s="26" t="inlineStr">
        <is>
          <t>4480460.0</t>
        </is>
      </c>
      <c r="F93" s="26" t="inlineStr">
        <is>
          <t>4.0</t>
        </is>
      </c>
      <c r="H93" s="21" t="n">
        <v>556572996.12</v>
      </c>
      <c r="I93" s="21" t="n">
        <v>565278859.55</v>
      </c>
      <c r="J93" s="15">
        <f>A93-A94</f>
        <v/>
      </c>
    </row>
    <row r="94">
      <c r="A94" s="29" t="n">
        <v>45989</v>
      </c>
      <c r="B94" s="26" t="inlineStr">
        <is>
          <t>142.0</t>
        </is>
      </c>
      <c r="C94" s="2" t="inlineStr">
        <is>
          <t>ספוט שקל</t>
        </is>
      </c>
      <c r="D94" s="2" t="inlineStr"/>
      <c r="E94" s="26" t="inlineStr">
        <is>
          <t>4479380.0</t>
        </is>
      </c>
      <c r="F94" s="26" t="inlineStr">
        <is>
          <t>4.0</t>
        </is>
      </c>
      <c r="H94" s="21" t="n">
        <v>32860000</v>
      </c>
      <c r="I94" s="21" t="n">
        <v>8705863.43</v>
      </c>
      <c r="J94" s="15">
        <f>A94-A95</f>
        <v/>
      </c>
    </row>
    <row r="95">
      <c r="A95" s="29" t="n">
        <v>45987</v>
      </c>
      <c r="B95" s="26" t="inlineStr">
        <is>
          <t>452.0</t>
        </is>
      </c>
      <c r="C95" s="2" t="inlineStr">
        <is>
          <t>רכישה</t>
        </is>
      </c>
      <c r="D95" s="2" t="inlineStr"/>
      <c r="E95" s="26" t="inlineStr">
        <is>
          <t>4480459.0</t>
        </is>
      </c>
      <c r="F95" s="26" t="inlineStr">
        <is>
          <t>2.0</t>
        </is>
      </c>
      <c r="G95" s="21" t="n">
        <v>556569599.29</v>
      </c>
      <c r="I95" s="21" t="n">
        <v>-24154136.57</v>
      </c>
      <c r="J95" s="15">
        <f>A95-A96</f>
        <v/>
      </c>
    </row>
    <row r="96">
      <c r="A96" s="29" t="n">
        <v>45987</v>
      </c>
      <c r="B96" s="26" t="inlineStr">
        <is>
          <t>142.0</t>
        </is>
      </c>
      <c r="C96" s="2" t="inlineStr">
        <is>
          <t>ספוט שקל</t>
        </is>
      </c>
      <c r="D96" s="2" t="inlineStr"/>
      <c r="E96" s="26" t="inlineStr">
        <is>
          <t>4477813.0</t>
        </is>
      </c>
      <c r="F96" s="26" t="inlineStr">
        <is>
          <t>4.0</t>
        </is>
      </c>
      <c r="H96" s="21" t="n">
        <v>556077428.62</v>
      </c>
      <c r="I96" s="21" t="n">
        <v>532415462.72</v>
      </c>
      <c r="J96" s="15">
        <f>A96-A97</f>
        <v/>
      </c>
    </row>
    <row r="97">
      <c r="A97" s="29" t="n">
        <v>45986</v>
      </c>
      <c r="B97" s="26" t="inlineStr">
        <is>
          <t>452.0</t>
        </is>
      </c>
      <c r="C97" s="2" t="inlineStr">
        <is>
          <t>רכישה</t>
        </is>
      </c>
      <c r="D97" s="2" t="inlineStr"/>
      <c r="E97" s="26" t="inlineStr">
        <is>
          <t>4477812.0</t>
        </is>
      </c>
      <c r="F97" s="26" t="inlineStr">
        <is>
          <t>2.0</t>
        </is>
      </c>
      <c r="G97" s="21" t="n">
        <v>556079132.29</v>
      </c>
      <c r="I97" s="21" t="n">
        <v>-23661965.9</v>
      </c>
      <c r="J97" s="15">
        <f>A97-A98</f>
        <v/>
      </c>
    </row>
    <row r="98">
      <c r="A98" s="29" t="n">
        <v>45986</v>
      </c>
      <c r="B98" s="26" t="inlineStr">
        <is>
          <t>452.0</t>
        </is>
      </c>
      <c r="C98" s="2" t="inlineStr">
        <is>
          <t>ספוט שקל</t>
        </is>
      </c>
      <c r="D98" s="2" t="inlineStr"/>
      <c r="E98" s="26" t="inlineStr">
        <is>
          <t>4473701.0</t>
        </is>
      </c>
      <c r="F98" s="26" t="inlineStr">
        <is>
          <t>4.0</t>
        </is>
      </c>
      <c r="G98" s="21" t="n">
        <v>65780000</v>
      </c>
      <c r="I98" s="21" t="n">
        <v>532417166.39</v>
      </c>
      <c r="J98" s="15">
        <f>A98-A99</f>
        <v/>
      </c>
    </row>
    <row r="99">
      <c r="A99" s="29" t="n">
        <v>45986</v>
      </c>
      <c r="B99" s="26" t="inlineStr">
        <is>
          <t>142.0</t>
        </is>
      </c>
      <c r="C99" s="2" t="inlineStr">
        <is>
          <t>ספוט שקל</t>
        </is>
      </c>
      <c r="D99" s="2" t="inlineStr"/>
      <c r="E99" s="26" t="inlineStr">
        <is>
          <t>4474728.0</t>
        </is>
      </c>
      <c r="F99" s="26" t="inlineStr">
        <is>
          <t>4.0</t>
        </is>
      </c>
      <c r="H99" s="21" t="n">
        <v>148112743.59</v>
      </c>
      <c r="I99" s="21" t="n">
        <v>598197166.39</v>
      </c>
      <c r="J99" s="15">
        <f>A99-A100</f>
        <v/>
      </c>
    </row>
    <row r="100">
      <c r="A100" s="29" t="n">
        <v>45986</v>
      </c>
      <c r="B100" s="26" t="inlineStr">
        <is>
          <t>142.0</t>
        </is>
      </c>
      <c r="C100" s="2" t="inlineStr">
        <is>
          <t>ספוט שקל</t>
        </is>
      </c>
      <c r="D100" s="2" t="inlineStr"/>
      <c r="E100" s="26" t="inlineStr">
        <is>
          <t>4473559.0</t>
        </is>
      </c>
      <c r="F100" s="26" t="inlineStr">
        <is>
          <t>4.0</t>
        </is>
      </c>
      <c r="H100" s="21" t="n">
        <v>65940000</v>
      </c>
      <c r="I100" s="21" t="n">
        <v>450084422.8</v>
      </c>
      <c r="J100" s="15">
        <f>A100-A101</f>
        <v/>
      </c>
    </row>
    <row r="101">
      <c r="A101" s="29" t="n">
        <v>45986</v>
      </c>
      <c r="B101" s="26" t="inlineStr">
        <is>
          <t>121.0</t>
        </is>
      </c>
      <c r="C101" s="2" t="inlineStr">
        <is>
          <t>ני"ע-תש' ריבית</t>
        </is>
      </c>
      <c r="D101" s="2" t="inlineStr"/>
      <c r="E101" s="26" t="inlineStr">
        <is>
          <t>6040539.0</t>
        </is>
      </c>
      <c r="F101" s="26" t="inlineStr">
        <is>
          <t>9997.0</t>
        </is>
      </c>
      <c r="H101" s="21" t="n">
        <v>4856.24</v>
      </c>
      <c r="I101" s="21" t="n">
        <v>384144422.8</v>
      </c>
      <c r="J101" s="15">
        <f>A101-A102</f>
        <v/>
      </c>
    </row>
    <row r="102">
      <c r="A102" s="29" t="n">
        <v>45986</v>
      </c>
      <c r="B102" s="26" t="inlineStr">
        <is>
          <t>469.0</t>
        </is>
      </c>
      <c r="C102" s="2" t="inlineStr">
        <is>
          <t>הוראת-קבע</t>
        </is>
      </c>
      <c r="D102" s="2" t="inlineStr"/>
      <c r="E102" s="26" t="inlineStr">
        <is>
          <t>600672577.0</t>
        </is>
      </c>
      <c r="F102" s="26" t="inlineStr">
        <is>
          <t>33333.0</t>
        </is>
      </c>
      <c r="G102" s="21" t="n">
        <v>-384139566.56</v>
      </c>
      <c r="I102" s="21" t="n">
        <v>384139566.56</v>
      </c>
      <c r="J102" s="15">
        <f>A102-A103</f>
        <v/>
      </c>
    </row>
    <row r="103">
      <c r="A103" s="29" t="n">
        <v>45985</v>
      </c>
      <c r="B103" s="26" t="inlineStr">
        <is>
          <t>469.0</t>
        </is>
      </c>
      <c r="C103" s="2" t="inlineStr">
        <is>
          <t>הוראת-קבע</t>
        </is>
      </c>
      <c r="D103" s="2" t="inlineStr"/>
      <c r="E103" s="26" t="inlineStr">
        <is>
          <t>600672577.0</t>
        </is>
      </c>
      <c r="F103" s="26" t="inlineStr">
        <is>
          <t>33333.0</t>
        </is>
      </c>
      <c r="G103" s="21" t="n">
        <v>384717924.69</v>
      </c>
      <c r="J103" s="15">
        <f>A103-A104</f>
        <v/>
      </c>
    </row>
    <row r="104">
      <c r="A104" s="29" t="n">
        <v>45985</v>
      </c>
      <c r="B104" s="26" t="inlineStr">
        <is>
          <t>452.0</t>
        </is>
      </c>
      <c r="C104" s="2" t="inlineStr">
        <is>
          <t>רכישה</t>
        </is>
      </c>
      <c r="D104" s="2" t="inlineStr"/>
      <c r="E104" s="26" t="inlineStr">
        <is>
          <t>4474727.0</t>
        </is>
      </c>
      <c r="F104" s="26" t="inlineStr">
        <is>
          <t>2.0</t>
        </is>
      </c>
      <c r="G104" s="21" t="n">
        <v>148113649.48</v>
      </c>
      <c r="I104" s="21" t="n">
        <v>384717924.69</v>
      </c>
      <c r="J104" s="15">
        <f>A104-A105</f>
        <v/>
      </c>
    </row>
    <row r="105">
      <c r="A105" s="29" t="n">
        <v>45985</v>
      </c>
      <c r="B105" s="26" t="inlineStr">
        <is>
          <t>452.0</t>
        </is>
      </c>
      <c r="C105" s="2" t="inlineStr">
        <is>
          <t>ספוט שקל</t>
        </is>
      </c>
      <c r="D105" s="2" t="inlineStr"/>
      <c r="E105" s="26" t="inlineStr">
        <is>
          <t>4471830.0</t>
        </is>
      </c>
      <c r="F105" s="26" t="inlineStr">
        <is>
          <t>4.0</t>
        </is>
      </c>
      <c r="G105" s="21" t="n">
        <v>16240000</v>
      </c>
      <c r="I105" s="21" t="n">
        <v>532831574.17</v>
      </c>
      <c r="J105" s="15">
        <f>A105-A106</f>
        <v/>
      </c>
    </row>
    <row r="106">
      <c r="A106" s="29" t="n">
        <v>45985</v>
      </c>
      <c r="B106" s="26" t="inlineStr">
        <is>
          <t>142.0</t>
        </is>
      </c>
      <c r="C106" s="2" t="inlineStr">
        <is>
          <t>ספוט שקל</t>
        </is>
      </c>
      <c r="D106" s="2" t="inlineStr"/>
      <c r="E106" s="26" t="inlineStr">
        <is>
          <t>4472880.0</t>
        </is>
      </c>
      <c r="F106" s="26" t="inlineStr">
        <is>
          <t>4.0</t>
        </is>
      </c>
      <c r="H106" s="21" t="n">
        <v>556056965.24</v>
      </c>
      <c r="I106" s="21" t="n">
        <v>549071574.17</v>
      </c>
      <c r="J106" s="15">
        <f>A106-A107</f>
        <v/>
      </c>
    </row>
    <row r="107">
      <c r="A107" s="29" t="n">
        <v>45982</v>
      </c>
      <c r="B107" s="26" t="inlineStr">
        <is>
          <t>452.0</t>
        </is>
      </c>
      <c r="C107" s="2" t="inlineStr">
        <is>
          <t>רכישה</t>
        </is>
      </c>
      <c r="D107" s="2" t="inlineStr"/>
      <c r="E107" s="26" t="inlineStr">
        <is>
          <t>4472879.0</t>
        </is>
      </c>
      <c r="F107" s="26" t="inlineStr">
        <is>
          <t>2.0</t>
        </is>
      </c>
      <c r="G107" s="21" t="n">
        <v>556051894.86</v>
      </c>
      <c r="I107" s="21" t="n">
        <v>-6985391.07</v>
      </c>
      <c r="J107" s="15">
        <f>A107-A108</f>
        <v/>
      </c>
    </row>
    <row r="108">
      <c r="A108" s="29" t="n">
        <v>45982</v>
      </c>
      <c r="B108" s="26" t="inlineStr">
        <is>
          <t>142.0</t>
        </is>
      </c>
      <c r="C108" s="2" t="inlineStr">
        <is>
          <t>ספוט שקל</t>
        </is>
      </c>
      <c r="D108" s="2" t="inlineStr"/>
      <c r="E108" s="26" t="inlineStr">
        <is>
          <t>4470245.0</t>
        </is>
      </c>
      <c r="F108" s="26" t="inlineStr">
        <is>
          <t>4.0</t>
        </is>
      </c>
      <c r="H108" s="21" t="n">
        <v>549066503.79</v>
      </c>
      <c r="I108" s="21" t="n">
        <v>549066503.79</v>
      </c>
      <c r="J108" s="15">
        <f>A108-A109</f>
        <v/>
      </c>
    </row>
    <row r="109">
      <c r="A109" s="29" t="n">
        <v>45981</v>
      </c>
      <c r="B109" s="26" t="inlineStr">
        <is>
          <t>452.0</t>
        </is>
      </c>
      <c r="C109" s="2" t="inlineStr">
        <is>
          <t>רכישה</t>
        </is>
      </c>
      <c r="D109" s="2" t="inlineStr"/>
      <c r="E109" s="26" t="inlineStr">
        <is>
          <t>4470244.0</t>
        </is>
      </c>
      <c r="F109" s="26" t="inlineStr">
        <is>
          <t>2.0</t>
        </is>
      </c>
      <c r="G109" s="21" t="n">
        <v>549061451.08</v>
      </c>
      <c r="J109" s="15">
        <f>A109-A110</f>
        <v/>
      </c>
    </row>
    <row r="110">
      <c r="A110" s="29" t="n">
        <v>45981</v>
      </c>
      <c r="B110" s="26" t="inlineStr">
        <is>
          <t>142.0</t>
        </is>
      </c>
      <c r="C110" s="2" t="inlineStr">
        <is>
          <t>ספוט שקל</t>
        </is>
      </c>
      <c r="D110" s="2" t="inlineStr"/>
      <c r="E110" s="26" t="inlineStr">
        <is>
          <t>4466916.0</t>
        </is>
      </c>
      <c r="F110" s="26" t="inlineStr">
        <is>
          <t>4.0</t>
        </is>
      </c>
      <c r="H110" s="21" t="n">
        <v>552159758</v>
      </c>
      <c r="I110" s="21" t="n">
        <v>549061451.08</v>
      </c>
      <c r="J110" s="15">
        <f>A110-A111</f>
        <v/>
      </c>
    </row>
    <row r="111">
      <c r="A111" s="29" t="n">
        <v>45981</v>
      </c>
      <c r="B111" s="26" t="inlineStr">
        <is>
          <t>469.0</t>
        </is>
      </c>
      <c r="C111" s="2" t="inlineStr">
        <is>
          <t>הוראת-קבע</t>
        </is>
      </c>
      <c r="D111" s="2" t="inlineStr"/>
      <c r="E111" s="26" t="inlineStr">
        <is>
          <t>600672577.0</t>
        </is>
      </c>
      <c r="F111" s="26" t="inlineStr">
        <is>
          <t>33333.0</t>
        </is>
      </c>
      <c r="G111" s="21" t="n">
        <v>-11501536.62</v>
      </c>
      <c r="I111" s="21" t="n">
        <v>-3098306.92</v>
      </c>
      <c r="J111" s="15">
        <f>A111-A112</f>
        <v/>
      </c>
    </row>
    <row r="112">
      <c r="A112" s="29" t="n">
        <v>45980</v>
      </c>
      <c r="B112" s="26" t="inlineStr">
        <is>
          <t>452.0</t>
        </is>
      </c>
      <c r="C112" s="2" t="inlineStr">
        <is>
          <t>רכישה</t>
        </is>
      </c>
      <c r="D112" s="2" t="inlineStr"/>
      <c r="E112" s="26" t="inlineStr">
        <is>
          <t>4466915.0</t>
        </is>
      </c>
      <c r="F112" s="26" t="inlineStr">
        <is>
          <t>2.0</t>
        </is>
      </c>
      <c r="G112" s="21" t="n">
        <v>552159758</v>
      </c>
      <c r="I112" s="21" t="n">
        <v>-14599843.54</v>
      </c>
      <c r="J112" s="15">
        <f>A112-A113</f>
        <v/>
      </c>
    </row>
    <row r="113">
      <c r="A113" s="29" t="n">
        <v>45980</v>
      </c>
      <c r="B113" s="26" t="inlineStr">
        <is>
          <t>142.0</t>
        </is>
      </c>
      <c r="C113" s="2" t="inlineStr">
        <is>
          <t>ספוט שקל</t>
        </is>
      </c>
      <c r="D113" s="2" t="inlineStr"/>
      <c r="E113" s="26" t="inlineStr">
        <is>
          <t>4464096.0</t>
        </is>
      </c>
      <c r="F113" s="26" t="inlineStr">
        <is>
          <t>4.0</t>
        </is>
      </c>
      <c r="H113" s="21" t="n">
        <v>550763139.62</v>
      </c>
      <c r="I113" s="21" t="n">
        <v>537559914.46</v>
      </c>
      <c r="J113" s="15">
        <f>A113-A114</f>
        <v/>
      </c>
    </row>
    <row r="114">
      <c r="A114" s="29" t="n">
        <v>45979</v>
      </c>
      <c r="B114" s="26" t="inlineStr">
        <is>
          <t>452.0</t>
        </is>
      </c>
      <c r="C114" s="2" t="inlineStr">
        <is>
          <t>רכישה</t>
        </is>
      </c>
      <c r="D114" s="2" t="inlineStr"/>
      <c r="E114" s="26" t="inlineStr">
        <is>
          <t>4464095.0</t>
        </is>
      </c>
      <c r="F114" s="26" t="inlineStr">
        <is>
          <t>2.0</t>
        </is>
      </c>
      <c r="G114" s="21" t="n">
        <v>550759762.8</v>
      </c>
      <c r="I114" s="21" t="n">
        <v>-13203225.16</v>
      </c>
      <c r="J114" s="15">
        <f>A114-A115</f>
        <v/>
      </c>
    </row>
    <row r="115">
      <c r="A115" s="29" t="n">
        <v>45979</v>
      </c>
      <c r="B115" s="26" t="inlineStr">
        <is>
          <t>142.0</t>
        </is>
      </c>
      <c r="C115" s="2" t="inlineStr">
        <is>
          <t>ספוט שקל</t>
        </is>
      </c>
      <c r="D115" s="2" t="inlineStr"/>
      <c r="E115" s="26" t="inlineStr">
        <is>
          <t>4459979.0</t>
        </is>
      </c>
      <c r="F115" s="26" t="inlineStr">
        <is>
          <t>4.0</t>
        </is>
      </c>
      <c r="H115" s="21" t="n">
        <v>541295220.84</v>
      </c>
      <c r="I115" s="21" t="n">
        <v>537556537.64</v>
      </c>
      <c r="J115" s="15">
        <f>A115-A116</f>
        <v/>
      </c>
    </row>
    <row r="116">
      <c r="A116" s="29" t="n">
        <v>45978</v>
      </c>
      <c r="B116" s="26" t="inlineStr">
        <is>
          <t>452.0</t>
        </is>
      </c>
      <c r="C116" s="2" t="inlineStr">
        <is>
          <t>רכישה</t>
        </is>
      </c>
      <c r="D116" s="2" t="inlineStr"/>
      <c r="E116" s="26" t="inlineStr">
        <is>
          <t>4459978.0</t>
        </is>
      </c>
      <c r="F116" s="26" t="inlineStr">
        <is>
          <t>2.0</t>
        </is>
      </c>
      <c r="G116" s="21" t="n">
        <v>541297738.5</v>
      </c>
      <c r="I116" s="21" t="n">
        <v>-3738683.2</v>
      </c>
      <c r="J116" s="15">
        <f>A116-A117</f>
        <v/>
      </c>
    </row>
    <row r="117">
      <c r="A117" s="29" t="n">
        <v>45978</v>
      </c>
      <c r="B117" s="26" t="inlineStr">
        <is>
          <t>452.0</t>
        </is>
      </c>
      <c r="C117" s="2" t="inlineStr">
        <is>
          <t>ע' העברת מט"ח</t>
        </is>
      </c>
      <c r="D117" s="2" t="inlineStr"/>
      <c r="E117" s="26" t="inlineStr">
        <is>
          <t>210643.0</t>
        </is>
      </c>
      <c r="F117" s="26" t="inlineStr">
        <is>
          <t>79403.0</t>
        </is>
      </c>
      <c r="G117" s="21" t="n">
        <v>58.91</v>
      </c>
      <c r="I117" s="21" t="n">
        <v>537559055.3</v>
      </c>
      <c r="J117" s="15">
        <f>A117-A118</f>
        <v/>
      </c>
    </row>
    <row r="118">
      <c r="A118" s="29" t="n">
        <v>45978</v>
      </c>
      <c r="B118" s="26" t="inlineStr">
        <is>
          <t>142.0</t>
        </is>
      </c>
      <c r="C118" s="2" t="inlineStr">
        <is>
          <t>ספוט שקל</t>
        </is>
      </c>
      <c r="D118" s="2" t="inlineStr"/>
      <c r="E118" s="26" t="inlineStr">
        <is>
          <t>4455612.0</t>
        </is>
      </c>
      <c r="F118" s="26" t="inlineStr">
        <is>
          <t>4.0</t>
        </is>
      </c>
      <c r="H118" s="21" t="n">
        <v>537559114.21</v>
      </c>
      <c r="I118" s="21" t="n">
        <v>537559114.21</v>
      </c>
      <c r="J118" s="15">
        <f>A118-A119</f>
        <v/>
      </c>
    </row>
    <row r="119">
      <c r="A119" s="29" t="n">
        <v>45977</v>
      </c>
      <c r="B119" s="26" t="inlineStr">
        <is>
          <t>469.0</t>
        </is>
      </c>
      <c r="C119" s="2" t="inlineStr">
        <is>
          <t>הוראת-קבע</t>
        </is>
      </c>
      <c r="D119" s="2" t="inlineStr"/>
      <c r="E119" s="26" t="inlineStr">
        <is>
          <t>600672577.0</t>
        </is>
      </c>
      <c r="F119" s="26" t="inlineStr">
        <is>
          <t>33333.0</t>
        </is>
      </c>
      <c r="G119" s="21" t="n">
        <v>212641.42</v>
      </c>
      <c r="J119" s="15">
        <f>A119-A120</f>
        <v/>
      </c>
    </row>
    <row r="120">
      <c r="A120" s="29" t="n">
        <v>45977</v>
      </c>
      <c r="B120" s="26" t="inlineStr">
        <is>
          <t>121.0</t>
        </is>
      </c>
      <c r="C120" s="2" t="inlineStr">
        <is>
          <t>ני"ע-תש' ריבית</t>
        </is>
      </c>
      <c r="D120" s="2" t="inlineStr"/>
      <c r="E120" s="26" t="inlineStr">
        <is>
          <t>6130207.0</t>
        </is>
      </c>
      <c r="F120" s="26" t="inlineStr">
        <is>
          <t>9997.0</t>
        </is>
      </c>
      <c r="H120" s="21" t="n">
        <v>212641.42</v>
      </c>
      <c r="I120" s="21" t="n">
        <v>212641.42</v>
      </c>
      <c r="J120" s="15">
        <f>A120-A121</f>
        <v/>
      </c>
    </row>
    <row r="121">
      <c r="A121" s="29" t="n">
        <v>45975</v>
      </c>
      <c r="B121" s="26" t="inlineStr">
        <is>
          <t>469.0</t>
        </is>
      </c>
      <c r="C121" s="2" t="inlineStr">
        <is>
          <t>הוראת-קבע</t>
        </is>
      </c>
      <c r="D121" s="2" t="inlineStr"/>
      <c r="E121" s="26" t="inlineStr">
        <is>
          <t>600672577.0</t>
        </is>
      </c>
      <c r="F121" s="26" t="inlineStr">
        <is>
          <t>33333.0</t>
        </is>
      </c>
      <c r="G121" s="21" t="n">
        <v>505688.18</v>
      </c>
      <c r="J121" s="15">
        <f>A121-A122</f>
        <v/>
      </c>
    </row>
    <row r="122">
      <c r="A122" s="29" t="n">
        <v>45975</v>
      </c>
      <c r="B122" s="26" t="inlineStr">
        <is>
          <t>452.0</t>
        </is>
      </c>
      <c r="C122" s="2" t="inlineStr">
        <is>
          <t>ספוט שקל</t>
        </is>
      </c>
      <c r="D122" s="2" t="inlineStr"/>
      <c r="E122" s="26" t="inlineStr">
        <is>
          <t>4455611.0</t>
        </is>
      </c>
      <c r="F122" s="26" t="inlineStr">
        <is>
          <t>4.0</t>
        </is>
      </c>
      <c r="G122" s="21" t="n">
        <v>537555759.73</v>
      </c>
      <c r="I122" s="21" t="n">
        <v>505688.18</v>
      </c>
      <c r="J122" s="15">
        <f>A122-A123</f>
        <v/>
      </c>
    </row>
    <row r="123">
      <c r="A123" s="29" t="n">
        <v>45975</v>
      </c>
      <c r="B123" s="26" t="inlineStr">
        <is>
          <t>142.0</t>
        </is>
      </c>
      <c r="C123" s="2" t="inlineStr">
        <is>
          <t>ספוט שקל</t>
        </is>
      </c>
      <c r="D123" s="2" t="inlineStr"/>
      <c r="E123" s="26" t="inlineStr">
        <is>
          <t>4451581.0</t>
        </is>
      </c>
      <c r="F123" s="26" t="inlineStr">
        <is>
          <t>4.0</t>
        </is>
      </c>
      <c r="H123" s="21" t="n">
        <v>538061447.91</v>
      </c>
      <c r="I123" s="21" t="n">
        <v>538061447.91</v>
      </c>
      <c r="J123" s="15">
        <f>A123-A124</f>
        <v/>
      </c>
    </row>
    <row r="124">
      <c r="A124" s="29" t="n">
        <v>45974</v>
      </c>
      <c r="B124" s="26" t="inlineStr">
        <is>
          <t>469.0</t>
        </is>
      </c>
      <c r="C124" s="2" t="inlineStr">
        <is>
          <t>הוראת-קבע</t>
        </is>
      </c>
      <c r="D124" s="2" t="inlineStr"/>
      <c r="E124" s="26" t="inlineStr">
        <is>
          <t>600672577.0</t>
        </is>
      </c>
      <c r="F124" s="26" t="inlineStr">
        <is>
          <t>33333.0</t>
        </is>
      </c>
      <c r="G124" s="21" t="n">
        <v>3624371.51</v>
      </c>
      <c r="J124" s="15">
        <f>A124-A125</f>
        <v/>
      </c>
    </row>
    <row r="125">
      <c r="A125" s="29" t="n">
        <v>45974</v>
      </c>
      <c r="B125" s="26" t="inlineStr">
        <is>
          <t>452.0</t>
        </is>
      </c>
      <c r="C125" s="2" t="inlineStr">
        <is>
          <t>ספוט שקל</t>
        </is>
      </c>
      <c r="D125" s="2" t="inlineStr"/>
      <c r="E125" s="26" t="inlineStr">
        <is>
          <t>4451580.0</t>
        </is>
      </c>
      <c r="F125" s="26" t="inlineStr">
        <is>
          <t>4.0</t>
        </is>
      </c>
      <c r="G125" s="21" t="n">
        <v>538058932.05</v>
      </c>
      <c r="I125" s="21" t="n">
        <v>3624371.51</v>
      </c>
      <c r="J125" s="15">
        <f>A125-A126</f>
        <v/>
      </c>
    </row>
    <row r="126">
      <c r="A126" s="29" t="n">
        <v>45974</v>
      </c>
      <c r="B126" s="26" t="inlineStr">
        <is>
          <t>142.0</t>
        </is>
      </c>
      <c r="C126" s="2" t="inlineStr">
        <is>
          <t>ספוט שקל</t>
        </is>
      </c>
      <c r="D126" s="2" t="inlineStr"/>
      <c r="E126" s="26" t="inlineStr">
        <is>
          <t>4449914.0</t>
        </is>
      </c>
      <c r="F126" s="26" t="inlineStr">
        <is>
          <t>4.0</t>
        </is>
      </c>
      <c r="H126" s="21" t="n">
        <v>541683303.5599999</v>
      </c>
      <c r="I126" s="21" t="n">
        <v>541683303.5599999</v>
      </c>
      <c r="J126" s="15">
        <f>A126-A127</f>
        <v/>
      </c>
    </row>
    <row r="127">
      <c r="A127" s="29" t="n">
        <v>45973</v>
      </c>
      <c r="B127" s="26" t="inlineStr">
        <is>
          <t>469.0</t>
        </is>
      </c>
      <c r="C127" s="2" t="inlineStr">
        <is>
          <t>הוראת-קבע</t>
        </is>
      </c>
      <c r="D127" s="2" t="inlineStr"/>
      <c r="E127" s="26" t="inlineStr">
        <is>
          <t>600672577.0</t>
        </is>
      </c>
      <c r="F127" s="26" t="inlineStr">
        <is>
          <t>33333.0</t>
        </is>
      </c>
      <c r="G127" s="21" t="n">
        <v>18511656.8</v>
      </c>
      <c r="J127" s="15">
        <f>A127-A128</f>
        <v/>
      </c>
    </row>
    <row r="128">
      <c r="A128" s="29" t="n">
        <v>45973</v>
      </c>
      <c r="B128" s="26" t="inlineStr">
        <is>
          <t>452.0</t>
        </is>
      </c>
      <c r="C128" s="2" t="inlineStr">
        <is>
          <t>החלף ריבית</t>
        </is>
      </c>
      <c r="D128" s="2" t="inlineStr"/>
      <c r="E128" s="26" t="inlineStr">
        <is>
          <t>883828.0</t>
        </is>
      </c>
      <c r="F128" s="26" t="inlineStr">
        <is>
          <t>20.0</t>
        </is>
      </c>
      <c r="G128" s="21" t="n">
        <v>15157.45</v>
      </c>
      <c r="I128" s="21" t="n">
        <v>18511656.8</v>
      </c>
      <c r="J128" s="15">
        <f>A128-A129</f>
        <v/>
      </c>
    </row>
    <row r="129">
      <c r="A129" s="29" t="n">
        <v>45973</v>
      </c>
      <c r="B129" s="26" t="inlineStr">
        <is>
          <t>452.0</t>
        </is>
      </c>
      <c r="C129" s="2" t="inlineStr">
        <is>
          <t>החלף ריבית</t>
        </is>
      </c>
      <c r="D129" s="2" t="inlineStr"/>
      <c r="E129" s="26" t="inlineStr">
        <is>
          <t>822315.0</t>
        </is>
      </c>
      <c r="F129" s="26" t="inlineStr">
        <is>
          <t>20.0</t>
        </is>
      </c>
      <c r="G129" s="21" t="n">
        <v>170764.22</v>
      </c>
      <c r="I129" s="21" t="n">
        <v>18526814.25</v>
      </c>
      <c r="J129" s="15">
        <f>A129-A130</f>
        <v/>
      </c>
    </row>
    <row r="130">
      <c r="A130" s="29" t="n">
        <v>45973</v>
      </c>
      <c r="B130" s="26" t="inlineStr">
        <is>
          <t>452.0</t>
        </is>
      </c>
      <c r="C130" s="2" t="inlineStr">
        <is>
          <t>ספוט שקל</t>
        </is>
      </c>
      <c r="D130" s="2" t="inlineStr"/>
      <c r="E130" s="26" t="inlineStr">
        <is>
          <t>4449913.0</t>
        </is>
      </c>
      <c r="F130" s="26" t="inlineStr">
        <is>
          <t>4.0</t>
        </is>
      </c>
      <c r="G130" s="21" t="n">
        <v>541681621.3200001</v>
      </c>
      <c r="I130" s="21" t="n">
        <v>18697578.47</v>
      </c>
      <c r="J130" s="15">
        <f>A130-A131</f>
        <v/>
      </c>
    </row>
    <row r="131">
      <c r="A131" s="29" t="n">
        <v>45973</v>
      </c>
      <c r="B131" s="26" t="inlineStr">
        <is>
          <t>452.0</t>
        </is>
      </c>
      <c r="C131" s="2" t="inlineStr">
        <is>
          <t>פורוורד שקל</t>
        </is>
      </c>
      <c r="D131" s="2" t="inlineStr"/>
      <c r="E131" s="26" t="inlineStr">
        <is>
          <t>4435119.0</t>
        </is>
      </c>
      <c r="F131" s="26" t="inlineStr">
        <is>
          <t>6.0</t>
        </is>
      </c>
      <c r="G131" s="21" t="n">
        <v>16534647.09</v>
      </c>
      <c r="I131" s="21" t="n">
        <v>560379199.79</v>
      </c>
      <c r="J131" s="15">
        <f>A131-A132</f>
        <v/>
      </c>
    </row>
    <row r="132">
      <c r="A132" s="29" t="n">
        <v>45973</v>
      </c>
      <c r="B132" s="26" t="inlineStr">
        <is>
          <t>142.0</t>
        </is>
      </c>
      <c r="C132" s="2" t="inlineStr">
        <is>
          <t>פורוורד שקל</t>
        </is>
      </c>
      <c r="D132" s="2" t="inlineStr"/>
      <c r="E132" s="26" t="inlineStr">
        <is>
          <t>4430257.0</t>
        </is>
      </c>
      <c r="F132" s="26" t="inlineStr">
        <is>
          <t>6.0</t>
        </is>
      </c>
      <c r="H132" s="21" t="n">
        <v>576913846.88</v>
      </c>
      <c r="I132" s="21" t="n">
        <v>576913846.88</v>
      </c>
      <c r="J132" s="15">
        <f>A132-A133</f>
        <v/>
      </c>
    </row>
    <row r="133">
      <c r="A133" s="29" t="n">
        <v>45971</v>
      </c>
      <c r="B133" s="26" t="inlineStr">
        <is>
          <t>469.0</t>
        </is>
      </c>
      <c r="C133" s="2" t="inlineStr">
        <is>
          <t>הוראת-קבע</t>
        </is>
      </c>
      <c r="D133" s="2" t="inlineStr"/>
      <c r="E133" s="26" t="inlineStr">
        <is>
          <t>600672577.0</t>
        </is>
      </c>
      <c r="F133" s="26" t="inlineStr">
        <is>
          <t>33333.0</t>
        </is>
      </c>
      <c r="G133" s="21" t="n">
        <v>9552.059999999999</v>
      </c>
      <c r="J133" s="15">
        <f>A133-A134</f>
        <v/>
      </c>
    </row>
    <row r="134">
      <c r="A134" s="29" t="n">
        <v>45971</v>
      </c>
      <c r="B134" s="26" t="inlineStr">
        <is>
          <t>452.0</t>
        </is>
      </c>
      <c r="C134" s="2" t="inlineStr">
        <is>
          <t>החלף ריבית</t>
        </is>
      </c>
      <c r="D134" s="2" t="inlineStr"/>
      <c r="E134" s="26" t="inlineStr">
        <is>
          <t>791324.0</t>
        </is>
      </c>
      <c r="F134" s="26" t="inlineStr">
        <is>
          <t>20.0</t>
        </is>
      </c>
      <c r="G134" s="21" t="n">
        <v>335659.51</v>
      </c>
      <c r="I134" s="21" t="n">
        <v>9552.059999999999</v>
      </c>
      <c r="J134" s="15">
        <f>A134-A135</f>
        <v/>
      </c>
    </row>
    <row r="135">
      <c r="A135" s="29" t="n">
        <v>45971</v>
      </c>
      <c r="B135" s="26" t="inlineStr">
        <is>
          <t>142.0</t>
        </is>
      </c>
      <c r="C135" s="2" t="inlineStr">
        <is>
          <t>החלף ריבית</t>
        </is>
      </c>
      <c r="D135" s="2" t="inlineStr"/>
      <c r="E135" s="26" t="inlineStr">
        <is>
          <t>790765.0</t>
        </is>
      </c>
      <c r="F135" s="26" t="inlineStr">
        <is>
          <t>20.0</t>
        </is>
      </c>
      <c r="H135" s="21" t="n">
        <v>345211.57</v>
      </c>
      <c r="I135" s="21" t="n">
        <v>345211.57</v>
      </c>
      <c r="J135" s="15">
        <f>A135-A136</f>
        <v/>
      </c>
    </row>
    <row r="136">
      <c r="A136" s="29" t="n">
        <v>45967</v>
      </c>
      <c r="B136" s="26" t="inlineStr">
        <is>
          <t>469.0</t>
        </is>
      </c>
      <c r="C136" s="2" t="inlineStr">
        <is>
          <t>הוראת-קבע</t>
        </is>
      </c>
      <c r="D136" s="2" t="inlineStr"/>
      <c r="E136" s="26" t="inlineStr">
        <is>
          <t>600672577.0</t>
        </is>
      </c>
      <c r="F136" s="26" t="inlineStr">
        <is>
          <t>33333.0</t>
        </is>
      </c>
      <c r="G136" s="21" t="n">
        <v>39846.58</v>
      </c>
      <c r="J136" s="15">
        <f>A136-A137</f>
        <v/>
      </c>
    </row>
    <row r="137">
      <c r="A137" s="29" t="n">
        <v>45967</v>
      </c>
      <c r="B137" s="26" t="inlineStr">
        <is>
          <t>452.0</t>
        </is>
      </c>
      <c r="C137" s="2" t="inlineStr">
        <is>
          <t>החלף ריבית</t>
        </is>
      </c>
      <c r="D137" s="2" t="inlineStr"/>
      <c r="E137" s="26" t="inlineStr">
        <is>
          <t>820491.0</t>
        </is>
      </c>
      <c r="F137" s="26" t="inlineStr">
        <is>
          <t>20.0</t>
        </is>
      </c>
      <c r="G137" s="21" t="n">
        <v>1138289.53</v>
      </c>
      <c r="I137" s="21" t="n">
        <v>39846.58</v>
      </c>
      <c r="J137" s="15">
        <f>A137-A138</f>
        <v/>
      </c>
    </row>
    <row r="138">
      <c r="A138" s="29" t="n">
        <v>45967</v>
      </c>
      <c r="B138" s="26" t="inlineStr">
        <is>
          <t>452.0</t>
        </is>
      </c>
      <c r="C138" s="2" t="inlineStr">
        <is>
          <t>החלף ריבית</t>
        </is>
      </c>
      <c r="D138" s="2" t="inlineStr"/>
      <c r="E138" s="26" t="inlineStr">
        <is>
          <t>791578.0</t>
        </is>
      </c>
      <c r="F138" s="26" t="inlineStr">
        <is>
          <t>20.0</t>
        </is>
      </c>
      <c r="G138" s="21" t="n">
        <v>965666.5600000001</v>
      </c>
      <c r="I138" s="21" t="n">
        <v>1178136.11</v>
      </c>
      <c r="J138" s="15">
        <f>A138-A139</f>
        <v/>
      </c>
    </row>
    <row r="139">
      <c r="A139" s="29" t="n">
        <v>45967</v>
      </c>
      <c r="B139" s="26" t="inlineStr">
        <is>
          <t>142.0</t>
        </is>
      </c>
      <c r="C139" s="2" t="inlineStr">
        <is>
          <t>החלף ריבית</t>
        </is>
      </c>
      <c r="D139" s="2" t="inlineStr"/>
      <c r="E139" s="26" t="inlineStr">
        <is>
          <t>820904.0</t>
        </is>
      </c>
      <c r="F139" s="26" t="inlineStr">
        <is>
          <t>20.0</t>
        </is>
      </c>
      <c r="H139" s="21" t="n">
        <v>1138289.53</v>
      </c>
      <c r="I139" s="21" t="n">
        <v>2143802.67</v>
      </c>
      <c r="J139" s="15">
        <f>A139-A140</f>
        <v/>
      </c>
    </row>
    <row r="140">
      <c r="A140" s="29" t="n">
        <v>45967</v>
      </c>
      <c r="B140" s="26" t="inlineStr">
        <is>
          <t>142.0</t>
        </is>
      </c>
      <c r="C140" s="2" t="inlineStr">
        <is>
          <t>החלף ריבית</t>
        </is>
      </c>
      <c r="D140" s="2" t="inlineStr"/>
      <c r="E140" s="26" t="inlineStr">
        <is>
          <t>789680.0</t>
        </is>
      </c>
      <c r="F140" s="26" t="inlineStr">
        <is>
          <t>20.0</t>
        </is>
      </c>
      <c r="H140" s="21" t="n">
        <v>1005513.14</v>
      </c>
      <c r="I140" s="21" t="n">
        <v>1005513.14</v>
      </c>
      <c r="J140" s="15">
        <f>A140-A141</f>
        <v/>
      </c>
    </row>
    <row r="141">
      <c r="A141" s="29" t="n">
        <v>45966</v>
      </c>
      <c r="B141" s="26" t="inlineStr">
        <is>
          <t>469.0</t>
        </is>
      </c>
      <c r="C141" s="2" t="inlineStr">
        <is>
          <t>הוראת-קבע</t>
        </is>
      </c>
      <c r="D141" s="2" t="inlineStr"/>
      <c r="E141" s="26" t="inlineStr">
        <is>
          <t>600672577.0</t>
        </is>
      </c>
      <c r="F141" s="26" t="inlineStr">
        <is>
          <t>33333.0</t>
        </is>
      </c>
      <c r="G141" s="21" t="n">
        <v>397784.69</v>
      </c>
      <c r="J141" s="15">
        <f>A141-A142</f>
        <v/>
      </c>
    </row>
    <row r="142">
      <c r="A142" s="29" t="n">
        <v>45966</v>
      </c>
      <c r="B142" s="26" t="inlineStr">
        <is>
          <t>452.0</t>
        </is>
      </c>
      <c r="C142" s="2" t="inlineStr">
        <is>
          <t>ספוט שקל</t>
        </is>
      </c>
      <c r="D142" s="2" t="inlineStr"/>
      <c r="E142" s="26" t="inlineStr">
        <is>
          <t>4430256.0</t>
        </is>
      </c>
      <c r="F142" s="26" t="inlineStr">
        <is>
          <t>4.0</t>
        </is>
      </c>
      <c r="G142" s="21" t="n">
        <v>576881896.5</v>
      </c>
      <c r="I142" s="21" t="n">
        <v>397784.69</v>
      </c>
      <c r="J142" s="15">
        <f>A142-A143</f>
        <v/>
      </c>
    </row>
    <row r="143">
      <c r="A143" s="29" t="n">
        <v>45966</v>
      </c>
      <c r="B143" s="26" t="inlineStr">
        <is>
          <t>142.0</t>
        </is>
      </c>
      <c r="C143" s="2" t="inlineStr">
        <is>
          <t>פורוורד שקל</t>
        </is>
      </c>
      <c r="D143" s="2" t="inlineStr"/>
      <c r="E143" s="26" t="inlineStr">
        <is>
          <t>4421618.0</t>
        </is>
      </c>
      <c r="F143" s="26" t="inlineStr">
        <is>
          <t>6.0</t>
        </is>
      </c>
      <c r="H143" s="21" t="n">
        <v>576912959.37</v>
      </c>
      <c r="I143" s="21" t="n">
        <v>577279681.1900001</v>
      </c>
      <c r="J143" s="15">
        <f>A143-A144</f>
        <v/>
      </c>
    </row>
    <row r="144">
      <c r="A144" s="29" t="n">
        <v>45966</v>
      </c>
      <c r="B144" s="26" t="inlineStr">
        <is>
          <t>256.0</t>
        </is>
      </c>
      <c r="C144" s="2" t="inlineStr">
        <is>
          <t>החזר ריבית (תאריך ערך: 03/10)</t>
        </is>
      </c>
      <c r="D144" s="2" t="inlineStr"/>
      <c r="E144" s="26" t="inlineStr">
        <is>
          <t>1873090016.0</t>
        </is>
      </c>
      <c r="F144" s="26" t="inlineStr">
        <is>
          <t>1.0</t>
        </is>
      </c>
      <c r="H144" s="21" t="n">
        <v>366721.82</v>
      </c>
      <c r="I144" s="21" t="n">
        <v>366721.82</v>
      </c>
      <c r="J144" s="15">
        <f>A144-A145</f>
        <v/>
      </c>
    </row>
    <row r="145">
      <c r="A145" s="29" t="n">
        <v>45965</v>
      </c>
      <c r="B145" s="26" t="inlineStr">
        <is>
          <t>469.0</t>
        </is>
      </c>
      <c r="C145" s="2" t="inlineStr">
        <is>
          <t>הוראת-קבע</t>
        </is>
      </c>
      <c r="D145" s="2" t="inlineStr"/>
      <c r="E145" s="26" t="inlineStr">
        <is>
          <t>600672577.0</t>
        </is>
      </c>
      <c r="F145" s="26" t="inlineStr">
        <is>
          <t>33333.0</t>
        </is>
      </c>
      <c r="G145" s="21" t="n">
        <v>3096885.12</v>
      </c>
      <c r="J145" s="15">
        <f>A145-A146</f>
        <v/>
      </c>
    </row>
    <row r="146">
      <c r="A146" s="29" t="n">
        <v>45965</v>
      </c>
      <c r="B146" s="26" t="inlineStr">
        <is>
          <t>452.0</t>
        </is>
      </c>
      <c r="C146" s="2" t="inlineStr">
        <is>
          <t>ספוט שקל</t>
        </is>
      </c>
      <c r="D146" s="2" t="inlineStr"/>
      <c r="E146" s="26" t="inlineStr">
        <is>
          <t>4427969.0</t>
        </is>
      </c>
      <c r="F146" s="26" t="inlineStr">
        <is>
          <t>4.0</t>
        </is>
      </c>
      <c r="G146" s="21" t="n">
        <v>12664973.38</v>
      </c>
      <c r="I146" s="21" t="n">
        <v>3096885.12</v>
      </c>
      <c r="J146" s="15">
        <f>A146-A147</f>
        <v/>
      </c>
    </row>
    <row r="147">
      <c r="A147" s="29" t="n">
        <v>45965</v>
      </c>
      <c r="B147" s="26" t="inlineStr">
        <is>
          <t>142.0</t>
        </is>
      </c>
      <c r="C147" s="2" t="inlineStr">
        <is>
          <t>המרה</t>
        </is>
      </c>
      <c r="D147" s="2" t="inlineStr"/>
      <c r="E147" s="26" t="inlineStr">
        <is>
          <t>4435118.0</t>
        </is>
      </c>
      <c r="F147" s="26" t="inlineStr">
        <is>
          <t>1.0</t>
        </is>
      </c>
      <c r="H147" s="21" t="n">
        <v>16535001.04</v>
      </c>
      <c r="I147" s="21" t="n">
        <v>15761858.5</v>
      </c>
      <c r="J147" s="15">
        <f>A147-A148</f>
        <v/>
      </c>
    </row>
    <row r="148">
      <c r="A148" s="29" t="n">
        <v>45964</v>
      </c>
      <c r="B148" s="26" t="inlineStr">
        <is>
          <t>452.0</t>
        </is>
      </c>
      <c r="C148" s="2" t="inlineStr">
        <is>
          <t>החלף ריבית</t>
        </is>
      </c>
      <c r="D148" s="2" t="inlineStr"/>
      <c r="E148" s="26" t="inlineStr">
        <is>
          <t>788311.0</t>
        </is>
      </c>
      <c r="F148" s="26" t="inlineStr">
        <is>
          <t>20.0</t>
        </is>
      </c>
      <c r="G148" s="21" t="n">
        <v>664280.6800000001</v>
      </c>
      <c r="I148" s="21" t="n">
        <v>-773142.54</v>
      </c>
      <c r="J148" s="15">
        <f>A148-A149</f>
        <v/>
      </c>
    </row>
    <row r="149">
      <c r="A149" s="29" t="n">
        <v>45964</v>
      </c>
      <c r="B149" s="26" t="inlineStr">
        <is>
          <t>452.0</t>
        </is>
      </c>
      <c r="C149" s="2" t="inlineStr">
        <is>
          <t>החלף מטבע</t>
        </is>
      </c>
      <c r="D149" s="2" t="inlineStr"/>
      <c r="E149" s="26" t="inlineStr">
        <is>
          <t>767693.0</t>
        </is>
      </c>
      <c r="F149" s="26" t="inlineStr">
        <is>
          <t>22.0</t>
        </is>
      </c>
      <c r="G149" s="21" t="n">
        <v>108861.86</v>
      </c>
      <c r="I149" s="21" t="n">
        <v>-108861.86</v>
      </c>
      <c r="J149" s="15">
        <f>A149-A150</f>
        <v/>
      </c>
    </row>
    <row r="150">
      <c r="A150" s="29" t="n">
        <v>45961</v>
      </c>
      <c r="B150" s="26" t="inlineStr">
        <is>
          <t>469.0</t>
        </is>
      </c>
      <c r="C150" s="2" t="inlineStr">
        <is>
          <t>הוראת-קבע</t>
        </is>
      </c>
      <c r="D150" s="2" t="inlineStr"/>
      <c r="E150" s="26" t="inlineStr">
        <is>
          <t>600672577.0</t>
        </is>
      </c>
      <c r="F150" s="26" t="inlineStr">
        <is>
          <t>33333.0</t>
        </is>
      </c>
      <c r="G150" s="21" t="n">
        <v>12664271.98</v>
      </c>
      <c r="J150" s="15">
        <f>A150-A151</f>
        <v/>
      </c>
    </row>
    <row r="151">
      <c r="A151" s="29" t="n">
        <v>45961</v>
      </c>
      <c r="B151" s="26" t="inlineStr">
        <is>
          <t>142.0</t>
        </is>
      </c>
      <c r="C151" s="2" t="inlineStr">
        <is>
          <t>המרה</t>
        </is>
      </c>
      <c r="D151" s="2" t="inlineStr"/>
      <c r="E151" s="26" t="inlineStr">
        <is>
          <t>4427968.0</t>
        </is>
      </c>
      <c r="F151" s="26" t="inlineStr">
        <is>
          <t>1.0</t>
        </is>
      </c>
      <c r="H151" s="21" t="n">
        <v>12664271.98</v>
      </c>
      <c r="I151" s="21" t="n">
        <v>12664271.98</v>
      </c>
      <c r="J151" s="15">
        <f>A151-A152</f>
        <v/>
      </c>
    </row>
    <row r="152">
      <c r="A152" s="29" t="n">
        <v>45960</v>
      </c>
      <c r="B152" s="26" t="inlineStr">
        <is>
          <t>452.0</t>
        </is>
      </c>
      <c r="C152" s="2" t="inlineStr">
        <is>
          <t>החלף ריבית</t>
        </is>
      </c>
      <c r="D152" s="2" t="inlineStr"/>
      <c r="E152" s="26" t="inlineStr">
        <is>
          <t>773738.0</t>
        </is>
      </c>
      <c r="F152" s="26" t="inlineStr">
        <is>
          <t>20.0</t>
        </is>
      </c>
      <c r="G152" s="21" t="n">
        <v>5610454.52</v>
      </c>
      <c r="J152" s="15">
        <f>A152-A153</f>
        <v/>
      </c>
    </row>
    <row r="153">
      <c r="A153" s="29" t="n">
        <v>45960</v>
      </c>
      <c r="B153" s="26" t="inlineStr">
        <is>
          <t>452.0</t>
        </is>
      </c>
      <c r="C153" s="2" t="inlineStr">
        <is>
          <t>החלף מטבע</t>
        </is>
      </c>
      <c r="D153" s="2" t="inlineStr"/>
      <c r="E153" s="26" t="inlineStr">
        <is>
          <t>767693.0</t>
        </is>
      </c>
      <c r="F153" s="26" t="inlineStr">
        <is>
          <t>22.0</t>
        </is>
      </c>
      <c r="G153" s="21" t="n">
        <v>13950000</v>
      </c>
      <c r="I153" s="21" t="n">
        <v>5610454.52</v>
      </c>
      <c r="J153" s="15">
        <f>A153-A154</f>
        <v/>
      </c>
    </row>
    <row r="154">
      <c r="A154" s="29" t="n">
        <v>45960</v>
      </c>
      <c r="B154" s="26" t="inlineStr">
        <is>
          <t>142.0</t>
        </is>
      </c>
      <c r="C154" s="2" t="inlineStr">
        <is>
          <t>החלף ריבית</t>
        </is>
      </c>
      <c r="D154" s="2" t="inlineStr"/>
      <c r="E154" s="26" t="inlineStr">
        <is>
          <t>812247.0</t>
        </is>
      </c>
      <c r="F154" s="26" t="inlineStr">
        <is>
          <t>20.0</t>
        </is>
      </c>
      <c r="H154" s="21" t="n">
        <v>6299073.15</v>
      </c>
      <c r="I154" s="21" t="n">
        <v>19560454.52</v>
      </c>
      <c r="J154" s="15">
        <f>A154-A155</f>
        <v/>
      </c>
    </row>
    <row r="155">
      <c r="A155" s="29" t="n">
        <v>45960</v>
      </c>
      <c r="B155" s="26" t="inlineStr">
        <is>
          <t>469.0</t>
        </is>
      </c>
      <c r="C155" s="2" t="inlineStr">
        <is>
          <t>הוראת-קבע</t>
        </is>
      </c>
      <c r="D155" s="2" t="inlineStr"/>
      <c r="E155" s="26" t="inlineStr">
        <is>
          <t>600672577.0</t>
        </is>
      </c>
      <c r="F155" s="26" t="inlineStr">
        <is>
          <t>33333.0</t>
        </is>
      </c>
      <c r="G155" s="21" t="n">
        <v>-13261381.37</v>
      </c>
      <c r="I155" s="21" t="n">
        <v>13261381.37</v>
      </c>
      <c r="J155" s="15">
        <f>A155-A156</f>
        <v/>
      </c>
    </row>
    <row r="156">
      <c r="A156" s="29" t="n">
        <v>45959</v>
      </c>
      <c r="B156" s="26" t="inlineStr">
        <is>
          <t>469.0</t>
        </is>
      </c>
      <c r="C156" s="2" t="inlineStr">
        <is>
          <t>הוראת-קבע</t>
        </is>
      </c>
      <c r="D156" s="2" t="inlineStr"/>
      <c r="E156" s="26" t="inlineStr">
        <is>
          <t>600672577.0</t>
        </is>
      </c>
      <c r="F156" s="26" t="inlineStr">
        <is>
          <t>33333.0</t>
        </is>
      </c>
      <c r="G156" s="21" t="n">
        <v>3315812.98</v>
      </c>
      <c r="J156" s="15">
        <f>A156-A157</f>
        <v/>
      </c>
    </row>
    <row r="157">
      <c r="A157" s="29" t="n">
        <v>45959</v>
      </c>
      <c r="B157" s="26" t="inlineStr">
        <is>
          <t>452.0</t>
        </is>
      </c>
      <c r="C157" s="2" t="inlineStr">
        <is>
          <t>רכישה</t>
        </is>
      </c>
      <c r="D157" s="2" t="inlineStr"/>
      <c r="E157" s="26" t="inlineStr">
        <is>
          <t>4421617.0</t>
        </is>
      </c>
      <c r="F157" s="26" t="inlineStr">
        <is>
          <t>2.0</t>
        </is>
      </c>
      <c r="G157" s="21" t="n">
        <v>576881896.5</v>
      </c>
      <c r="I157" s="21" t="n">
        <v>3315812.98</v>
      </c>
      <c r="J157" s="15">
        <f>A157-A158</f>
        <v/>
      </c>
    </row>
    <row r="158">
      <c r="A158" s="29" t="n">
        <v>45959</v>
      </c>
      <c r="B158" s="26" t="inlineStr">
        <is>
          <t>142.0</t>
        </is>
      </c>
      <c r="C158" s="2" t="inlineStr">
        <is>
          <t>ספוט שקל</t>
        </is>
      </c>
      <c r="D158" s="2" t="inlineStr"/>
      <c r="E158" s="26" t="inlineStr">
        <is>
          <t>4418769.0</t>
        </is>
      </c>
      <c r="F158" s="26" t="inlineStr">
        <is>
          <t>4.0</t>
        </is>
      </c>
      <c r="H158" s="21" t="n">
        <v>580197709.48</v>
      </c>
      <c r="I158" s="21" t="n">
        <v>580197709.48</v>
      </c>
      <c r="J158" s="15">
        <f>A158-A159</f>
        <v/>
      </c>
    </row>
    <row r="159">
      <c r="A159" s="29" t="n">
        <v>45958</v>
      </c>
      <c r="B159" s="26" t="inlineStr">
        <is>
          <t>469.0</t>
        </is>
      </c>
      <c r="C159" s="2" t="inlineStr">
        <is>
          <t>הוראת-קבע</t>
        </is>
      </c>
      <c r="D159" s="2" t="inlineStr"/>
      <c r="E159" s="26" t="inlineStr">
        <is>
          <t>600672577.0</t>
        </is>
      </c>
      <c r="F159" s="26" t="inlineStr">
        <is>
          <t>33333.0</t>
        </is>
      </c>
      <c r="G159" s="21" t="n">
        <v>1749653.02</v>
      </c>
      <c r="J159" s="15">
        <f>A159-A160</f>
        <v/>
      </c>
    </row>
    <row r="160">
      <c r="A160" s="29" t="n">
        <v>45958</v>
      </c>
      <c r="B160" s="26" t="inlineStr">
        <is>
          <t>452.0</t>
        </is>
      </c>
      <c r="C160" s="2" t="inlineStr">
        <is>
          <t>רכישה</t>
        </is>
      </c>
      <c r="D160" s="2" t="inlineStr"/>
      <c r="E160" s="26" t="inlineStr">
        <is>
          <t>4418768.0</t>
        </is>
      </c>
      <c r="F160" s="26" t="inlineStr">
        <is>
          <t>2.0</t>
        </is>
      </c>
      <c r="G160" s="21" t="n">
        <v>580194154.37</v>
      </c>
      <c r="I160" s="21" t="n">
        <v>1749653.02</v>
      </c>
      <c r="J160" s="15">
        <f>A160-A161</f>
        <v/>
      </c>
    </row>
    <row r="161">
      <c r="A161" s="29" t="n">
        <v>45958</v>
      </c>
      <c r="B161" s="26" t="inlineStr">
        <is>
          <t>142.0</t>
        </is>
      </c>
      <c r="C161" s="2" t="inlineStr">
        <is>
          <t>החלף ריבית</t>
        </is>
      </c>
      <c r="D161" s="2" t="inlineStr"/>
      <c r="E161" s="26" t="inlineStr">
        <is>
          <t>786412.0</t>
        </is>
      </c>
      <c r="F161" s="26" t="inlineStr">
        <is>
          <t>20.0</t>
        </is>
      </c>
      <c r="H161" s="21" t="n">
        <v>681342.09</v>
      </c>
      <c r="I161" s="21" t="n">
        <v>581943807.39</v>
      </c>
      <c r="J161" s="15">
        <f>A161-A162</f>
        <v/>
      </c>
    </row>
    <row r="162">
      <c r="A162" s="29" t="n">
        <v>45958</v>
      </c>
      <c r="B162" s="26" t="inlineStr">
        <is>
          <t>142.0</t>
        </is>
      </c>
      <c r="C162" s="2" t="inlineStr">
        <is>
          <t>ספוט שקל</t>
        </is>
      </c>
      <c r="D162" s="2" t="inlineStr"/>
      <c r="E162" s="26" t="inlineStr">
        <is>
          <t>4415395.0</t>
        </is>
      </c>
      <c r="F162" s="26" t="inlineStr">
        <is>
          <t>4.0</t>
        </is>
      </c>
      <c r="H162" s="21" t="n">
        <v>581262465.3</v>
      </c>
      <c r="I162" s="21" t="n">
        <v>581262465.3</v>
      </c>
      <c r="J162" s="15">
        <f>A162-A163</f>
        <v/>
      </c>
    </row>
    <row r="163">
      <c r="A163" s="29" t="n">
        <v>45957</v>
      </c>
      <c r="B163" s="26" t="inlineStr">
        <is>
          <t>469.0</t>
        </is>
      </c>
      <c r="C163" s="2" t="inlineStr">
        <is>
          <t>הוראת-קבע</t>
        </is>
      </c>
      <c r="D163" s="2" t="inlineStr"/>
      <c r="E163" s="26" t="inlineStr">
        <is>
          <t>600672577.0</t>
        </is>
      </c>
      <c r="F163" s="26" t="inlineStr">
        <is>
          <t>33333.0</t>
        </is>
      </c>
      <c r="G163" s="21" t="n">
        <v>4584345.26</v>
      </c>
      <c r="J163" s="15">
        <f>A163-A164</f>
        <v/>
      </c>
    </row>
    <row r="164">
      <c r="A164" s="29" t="n">
        <v>45957</v>
      </c>
      <c r="B164" s="26" t="inlineStr">
        <is>
          <t>452.0</t>
        </is>
      </c>
      <c r="C164" s="2" t="inlineStr">
        <is>
          <t>רכישה</t>
        </is>
      </c>
      <c r="D164" s="2" t="inlineStr"/>
      <c r="E164" s="26" t="inlineStr">
        <is>
          <t>4415394.0</t>
        </is>
      </c>
      <c r="F164" s="26" t="inlineStr">
        <is>
          <t>2.0</t>
        </is>
      </c>
      <c r="G164" s="21" t="n">
        <v>581260687.74</v>
      </c>
      <c r="I164" s="21" t="n">
        <v>4584345.26</v>
      </c>
      <c r="J164" s="15">
        <f>A164-A165</f>
        <v/>
      </c>
    </row>
    <row r="165">
      <c r="A165" s="29" t="n">
        <v>45957</v>
      </c>
      <c r="B165" s="26" t="inlineStr">
        <is>
          <t>142.0</t>
        </is>
      </c>
      <c r="C165" s="2" t="inlineStr">
        <is>
          <t>ספוט שקל</t>
        </is>
      </c>
      <c r="D165" s="2" t="inlineStr"/>
      <c r="E165" s="26" t="inlineStr">
        <is>
          <t>4414279.0</t>
        </is>
      </c>
      <c r="F165" s="26" t="inlineStr">
        <is>
          <t>4.0</t>
        </is>
      </c>
      <c r="H165" s="21" t="n">
        <v>585343733</v>
      </c>
      <c r="I165" s="21" t="n">
        <v>585845033</v>
      </c>
      <c r="J165" s="15">
        <f>A165-A166</f>
        <v/>
      </c>
    </row>
    <row r="166">
      <c r="A166" s="29" t="n">
        <v>45957</v>
      </c>
      <c r="B166" s="26" t="inlineStr">
        <is>
          <t>121.0</t>
        </is>
      </c>
      <c r="C166" s="2" t="inlineStr">
        <is>
          <t>ני"ע-תש' ריבית</t>
        </is>
      </c>
      <c r="D166" s="2" t="inlineStr"/>
      <c r="E166" s="26" t="inlineStr">
        <is>
          <t>3230232.0</t>
        </is>
      </c>
      <c r="F166" s="26" t="inlineStr">
        <is>
          <t>9997.0</t>
        </is>
      </c>
      <c r="H166" s="21" t="n">
        <v>234864.6</v>
      </c>
      <c r="I166" s="21" t="n">
        <v>501300</v>
      </c>
      <c r="J166" s="15">
        <f>A166-A167</f>
        <v/>
      </c>
    </row>
    <row r="167">
      <c r="A167" s="29" t="n">
        <v>45957</v>
      </c>
      <c r="B167" s="26" t="inlineStr">
        <is>
          <t>121.0</t>
        </is>
      </c>
      <c r="C167" s="2" t="inlineStr">
        <is>
          <t>ני"ע-פדיון</t>
        </is>
      </c>
      <c r="D167" s="2" t="inlineStr"/>
      <c r="E167" s="26" t="inlineStr">
        <is>
          <t>3230232.0</t>
        </is>
      </c>
      <c r="F167" s="26" t="inlineStr">
        <is>
          <t>9997.0</t>
        </is>
      </c>
      <c r="H167" s="21" t="n">
        <v>266435.4</v>
      </c>
      <c r="I167" s="21" t="n">
        <v>266435.4</v>
      </c>
      <c r="J167" s="15">
        <f>A167-A168</f>
        <v/>
      </c>
    </row>
    <row r="168">
      <c r="A168" s="29" t="n">
        <v>45954</v>
      </c>
      <c r="B168" s="26" t="inlineStr">
        <is>
          <t>469.0</t>
        </is>
      </c>
      <c r="C168" s="2" t="inlineStr">
        <is>
          <t>הוראת-קבע</t>
        </is>
      </c>
      <c r="D168" s="2" t="inlineStr"/>
      <c r="E168" s="26" t="inlineStr">
        <is>
          <t>600672577.0</t>
        </is>
      </c>
      <c r="F168" s="26" t="inlineStr">
        <is>
          <t>33333.0</t>
        </is>
      </c>
      <c r="G168" s="21" t="n">
        <v>2663357.14</v>
      </c>
      <c r="J168" s="15">
        <f>A168-A169</f>
        <v/>
      </c>
    </row>
    <row r="169">
      <c r="A169" s="29" t="n">
        <v>45954</v>
      </c>
      <c r="B169" s="26" t="inlineStr">
        <is>
          <t>452.0</t>
        </is>
      </c>
      <c r="C169" s="2" t="inlineStr">
        <is>
          <t>רכישה</t>
        </is>
      </c>
      <c r="D169" s="2" t="inlineStr"/>
      <c r="E169" s="26" t="inlineStr">
        <is>
          <t>4414278.0</t>
        </is>
      </c>
      <c r="F169" s="26" t="inlineStr">
        <is>
          <t>2.0</t>
        </is>
      </c>
      <c r="G169" s="21" t="n">
        <v>585349065.67</v>
      </c>
      <c r="I169" s="21" t="n">
        <v>2663357.14</v>
      </c>
      <c r="J169" s="15">
        <f>A169-A170</f>
        <v/>
      </c>
    </row>
    <row r="170">
      <c r="A170" s="29" t="n">
        <v>45954</v>
      </c>
      <c r="B170" s="26" t="inlineStr">
        <is>
          <t>142.0</t>
        </is>
      </c>
      <c r="C170" s="2" t="inlineStr">
        <is>
          <t>ספוט שקל</t>
        </is>
      </c>
      <c r="D170" s="2" t="inlineStr"/>
      <c r="E170" s="26" t="inlineStr">
        <is>
          <t>4411183.0</t>
        </is>
      </c>
      <c r="F170" s="26" t="inlineStr">
        <is>
          <t>4.0</t>
        </is>
      </c>
      <c r="H170" s="21" t="n">
        <v>588012422.8099999</v>
      </c>
      <c r="I170" s="21" t="n">
        <v>588012422.8099999</v>
      </c>
      <c r="J170" s="15">
        <f>A170-A171</f>
        <v/>
      </c>
    </row>
    <row r="171">
      <c r="A171" s="29" t="n">
        <v>45953</v>
      </c>
      <c r="B171" s="26" t="inlineStr">
        <is>
          <t>452.0</t>
        </is>
      </c>
      <c r="C171" s="2" t="inlineStr">
        <is>
          <t>רכישה</t>
        </is>
      </c>
      <c r="D171" s="2" t="inlineStr"/>
      <c r="E171" s="26" t="inlineStr">
        <is>
          <t>4411182.0</t>
        </is>
      </c>
      <c r="F171" s="26" t="inlineStr">
        <is>
          <t>2.0</t>
        </is>
      </c>
      <c r="G171" s="21" t="n">
        <v>588015089.55</v>
      </c>
      <c r="J171" s="15">
        <f>A171-A172</f>
        <v/>
      </c>
    </row>
    <row r="172">
      <c r="A172" s="29" t="n">
        <v>45953</v>
      </c>
      <c r="B172" s="26" t="inlineStr">
        <is>
          <t>142.0</t>
        </is>
      </c>
      <c r="C172" s="2" t="inlineStr">
        <is>
          <t>ספוט שקל</t>
        </is>
      </c>
      <c r="D172" s="2" t="inlineStr"/>
      <c r="E172" s="26" t="inlineStr">
        <is>
          <t>4408547.0</t>
        </is>
      </c>
      <c r="F172" s="26" t="inlineStr">
        <is>
          <t>4.0</t>
        </is>
      </c>
      <c r="H172" s="21" t="n">
        <v>231849400</v>
      </c>
      <c r="I172" s="21" t="n">
        <v>588015089.55</v>
      </c>
      <c r="J172" s="15">
        <f>A172-A173</f>
        <v/>
      </c>
    </row>
    <row r="173">
      <c r="A173" s="29" t="n">
        <v>45953</v>
      </c>
      <c r="B173" s="26" t="inlineStr">
        <is>
          <t>469.0</t>
        </is>
      </c>
      <c r="C173" s="2" t="inlineStr">
        <is>
          <t>הוראת-קבע</t>
        </is>
      </c>
      <c r="D173" s="2" t="inlineStr"/>
      <c r="E173" s="26" t="inlineStr">
        <is>
          <t>600672577.0</t>
        </is>
      </c>
      <c r="F173" s="26" t="inlineStr">
        <is>
          <t>33333.0</t>
        </is>
      </c>
      <c r="G173" s="21" t="n">
        <v>-356165689.55</v>
      </c>
      <c r="I173" s="21" t="n">
        <v>356165689.55</v>
      </c>
      <c r="J173" s="15">
        <f>A173-A174</f>
        <v/>
      </c>
    </row>
    <row r="174">
      <c r="A174" s="29" t="n">
        <v>45952</v>
      </c>
      <c r="B174" s="26" t="inlineStr">
        <is>
          <t>469.0</t>
        </is>
      </c>
      <c r="C174" s="2" t="inlineStr">
        <is>
          <t>הוראת-קבע</t>
        </is>
      </c>
      <c r="D174" s="2" t="inlineStr"/>
      <c r="E174" s="26" t="inlineStr">
        <is>
          <t>600672577.0</t>
        </is>
      </c>
      <c r="F174" s="26" t="inlineStr">
        <is>
          <t>33333.0</t>
        </is>
      </c>
      <c r="G174" s="21" t="n">
        <v>353981558.47</v>
      </c>
      <c r="J174" s="15">
        <f>A174-A175</f>
        <v/>
      </c>
    </row>
    <row r="175">
      <c r="A175" s="29" t="n">
        <v>45952</v>
      </c>
      <c r="B175" s="26" t="inlineStr">
        <is>
          <t>452.0</t>
        </is>
      </c>
      <c r="C175" s="2" t="inlineStr">
        <is>
          <t>החלף ריבית</t>
        </is>
      </c>
      <c r="D175" s="2" t="inlineStr"/>
      <c r="E175" s="26" t="inlineStr">
        <is>
          <t>886195.0</t>
        </is>
      </c>
      <c r="F175" s="26" t="inlineStr">
        <is>
          <t>20.0</t>
        </is>
      </c>
      <c r="G175" s="21" t="n">
        <v>81004.19</v>
      </c>
      <c r="I175" s="21" t="n">
        <v>353981558.47</v>
      </c>
      <c r="J175" s="15">
        <f>A175-A176</f>
        <v/>
      </c>
    </row>
    <row r="176">
      <c r="A176" s="29" t="n">
        <v>45952</v>
      </c>
      <c r="B176" s="26" t="inlineStr">
        <is>
          <t>452.0</t>
        </is>
      </c>
      <c r="C176" s="2" t="inlineStr">
        <is>
          <t>רכישה</t>
        </is>
      </c>
      <c r="D176" s="2" t="inlineStr"/>
      <c r="E176" s="26" t="inlineStr">
        <is>
          <t>4408546.0</t>
        </is>
      </c>
      <c r="F176" s="26" t="inlineStr">
        <is>
          <t>2.0</t>
        </is>
      </c>
      <c r="G176" s="21" t="n">
        <v>231851157.5</v>
      </c>
      <c r="I176" s="21" t="n">
        <v>354062562.66</v>
      </c>
      <c r="J176" s="15">
        <f>A176-A177</f>
        <v/>
      </c>
    </row>
    <row r="177">
      <c r="A177" s="29" t="n">
        <v>45952</v>
      </c>
      <c r="B177" s="26" t="inlineStr">
        <is>
          <t>142.0</t>
        </is>
      </c>
      <c r="C177" s="2" t="inlineStr">
        <is>
          <t>ספוט שקל</t>
        </is>
      </c>
      <c r="D177" s="2" t="inlineStr"/>
      <c r="E177" s="26" t="inlineStr">
        <is>
          <t>4406070.0</t>
        </is>
      </c>
      <c r="F177" s="26" t="inlineStr">
        <is>
          <t>4.0</t>
        </is>
      </c>
      <c r="H177" s="21" t="n">
        <v>585913720.16</v>
      </c>
      <c r="I177" s="21" t="n">
        <v>585913720.16</v>
      </c>
      <c r="J177" s="15">
        <f>A177-A178</f>
        <v/>
      </c>
    </row>
    <row r="178">
      <c r="A178" s="29" t="n">
        <v>45952</v>
      </c>
      <c r="B178" s="26" t="inlineStr">
        <is>
          <t>302.0</t>
        </is>
      </c>
      <c r="C178" s="2" t="inlineStr">
        <is>
          <t>העברה לעצמי (תאריך ערך: 21/10)</t>
        </is>
      </c>
      <c r="D178" s="2" t="inlineStr"/>
      <c r="E178" s="26" t="inlineStr">
        <is>
          <t>29500149.0</t>
        </is>
      </c>
      <c r="F178" s="26" t="inlineStr">
        <is>
          <t>214.0</t>
        </is>
      </c>
      <c r="G178" s="21" t="n">
        <v>384973604.51</v>
      </c>
      <c r="J178" s="15">
        <f>A178-A179</f>
        <v/>
      </c>
    </row>
    <row r="179">
      <c r="A179" s="29" t="n">
        <v>45952</v>
      </c>
      <c r="B179" s="26" t="inlineStr">
        <is>
          <t>256.0</t>
        </is>
      </c>
      <c r="C179" s="2" t="inlineStr">
        <is>
          <t>העברה (תאריך ערך: 03/10)</t>
        </is>
      </c>
      <c r="D179" s="2" t="inlineStr"/>
      <c r="E179" s="26" t="inlineStr">
        <is>
          <t>29500146.0</t>
        </is>
      </c>
      <c r="F179" s="26" t="inlineStr">
        <is>
          <t>214.0</t>
        </is>
      </c>
      <c r="H179" s="21" t="n">
        <v>384973604.51</v>
      </c>
      <c r="I179" s="21" t="n">
        <v>384973604.51</v>
      </c>
      <c r="J179" s="15">
        <f>A179-A180</f>
        <v/>
      </c>
    </row>
    <row r="180">
      <c r="A180" s="29" t="n">
        <v>45951</v>
      </c>
      <c r="B180" s="26" t="inlineStr">
        <is>
          <t>452.0</t>
        </is>
      </c>
      <c r="C180" s="2" t="inlineStr">
        <is>
          <t>רכישה</t>
        </is>
      </c>
      <c r="D180" s="2" t="inlineStr"/>
      <c r="E180" s="26" t="inlineStr">
        <is>
          <t>4406069.0</t>
        </is>
      </c>
      <c r="F180" s="26" t="inlineStr">
        <is>
          <t>2.0</t>
        </is>
      </c>
      <c r="G180" s="21" t="n">
        <v>585917275.46</v>
      </c>
      <c r="J180" s="15">
        <f>A180-A181</f>
        <v/>
      </c>
    </row>
    <row r="181">
      <c r="A181" s="29" t="n">
        <v>45951</v>
      </c>
      <c r="B181" s="26" t="inlineStr">
        <is>
          <t>142.0</t>
        </is>
      </c>
      <c r="C181" s="2" t="inlineStr">
        <is>
          <t>ספוט שקל</t>
        </is>
      </c>
      <c r="D181" s="2" t="inlineStr"/>
      <c r="E181" s="26" t="inlineStr">
        <is>
          <t>4402768.0</t>
        </is>
      </c>
      <c r="F181" s="26" t="inlineStr">
        <is>
          <t>4.0</t>
        </is>
      </c>
      <c r="H181" s="21" t="n">
        <v>588400650.39</v>
      </c>
      <c r="I181" s="21" t="n">
        <v>585917275.46</v>
      </c>
      <c r="J181" s="15">
        <f>A181-A182</f>
        <v/>
      </c>
    </row>
    <row r="182">
      <c r="A182" s="29" t="n">
        <v>45951</v>
      </c>
      <c r="B182" s="26" t="inlineStr">
        <is>
          <t>121.0</t>
        </is>
      </c>
      <c r="C182" s="2" t="inlineStr">
        <is>
          <t>ני"ע-תש' ריבית</t>
        </is>
      </c>
      <c r="D182" s="2" t="inlineStr"/>
      <c r="E182" s="26" t="inlineStr">
        <is>
          <t>2310498.0</t>
        </is>
      </c>
      <c r="F182" s="26" t="inlineStr">
        <is>
          <t>9997.0</t>
        </is>
      </c>
      <c r="H182" s="21" t="n">
        <v>929.4</v>
      </c>
      <c r="I182" s="21" t="n">
        <v>-2483374.93</v>
      </c>
      <c r="J182" s="15">
        <f>A182-A183</f>
        <v/>
      </c>
    </row>
    <row r="183">
      <c r="A183" s="29" t="n">
        <v>45951</v>
      </c>
      <c r="B183" s="26" t="inlineStr">
        <is>
          <t>469.0</t>
        </is>
      </c>
      <c r="C183" s="2" t="inlineStr">
        <is>
          <t>הוראת-קבע</t>
        </is>
      </c>
      <c r="D183" s="2" t="inlineStr"/>
      <c r="E183" s="26" t="inlineStr">
        <is>
          <t>600672577.0</t>
        </is>
      </c>
      <c r="F183" s="26" t="inlineStr">
        <is>
          <t>33333.0</t>
        </is>
      </c>
      <c r="G183" s="21" t="n">
        <v>-573868200.47</v>
      </c>
      <c r="I183" s="21" t="n">
        <v>-2484304.33</v>
      </c>
      <c r="J183" s="15">
        <f>A183-A184</f>
        <v/>
      </c>
    </row>
    <row r="184">
      <c r="A184" s="29" t="n">
        <v>45950</v>
      </c>
      <c r="B184" s="26" t="inlineStr">
        <is>
          <t>452.0</t>
        </is>
      </c>
      <c r="C184" s="2" t="inlineStr">
        <is>
          <t>החלף ריבית</t>
        </is>
      </c>
      <c r="D184" s="2" t="inlineStr"/>
      <c r="E184" s="26" t="inlineStr">
        <is>
          <t>729497.0</t>
        </is>
      </c>
      <c r="F184" s="26" t="inlineStr">
        <is>
          <t>20.0</t>
        </is>
      </c>
      <c r="G184" s="21" t="n">
        <v>168887.52</v>
      </c>
      <c r="I184" s="21" t="n">
        <v>-576352504.8</v>
      </c>
      <c r="J184" s="15">
        <f>A184-A185</f>
        <v/>
      </c>
    </row>
    <row r="185">
      <c r="A185" s="29" t="n">
        <v>45950</v>
      </c>
      <c r="B185" s="26" t="inlineStr">
        <is>
          <t>452.0</t>
        </is>
      </c>
      <c r="C185" s="2" t="inlineStr">
        <is>
          <t>רכישה</t>
        </is>
      </c>
      <c r="D185" s="2" t="inlineStr"/>
      <c r="E185" s="26" t="inlineStr">
        <is>
          <t>4402767.0</t>
        </is>
      </c>
      <c r="F185" s="26" t="inlineStr">
        <is>
          <t>2.0</t>
        </is>
      </c>
      <c r="G185" s="21" t="n">
        <v>588402428.04</v>
      </c>
      <c r="I185" s="21" t="n">
        <v>-576183617.28</v>
      </c>
      <c r="J185" s="15">
        <f>A185-A186</f>
        <v/>
      </c>
    </row>
    <row r="186">
      <c r="A186" s="29" t="n">
        <v>45950</v>
      </c>
      <c r="B186" s="26" t="inlineStr">
        <is>
          <t>142.0</t>
        </is>
      </c>
      <c r="C186" s="2" t="inlineStr">
        <is>
          <t>החלף ריבית</t>
        </is>
      </c>
      <c r="D186" s="2" t="inlineStr"/>
      <c r="E186" s="26" t="inlineStr">
        <is>
          <t>729917.0</t>
        </is>
      </c>
      <c r="F186" s="26" t="inlineStr">
        <is>
          <t>20.0</t>
        </is>
      </c>
      <c r="H186" s="21" t="n">
        <v>168887.52</v>
      </c>
      <c r="I186" s="21" t="n">
        <v>12218810.76</v>
      </c>
      <c r="J186" s="15">
        <f>A186-A187</f>
        <v/>
      </c>
    </row>
    <row r="187">
      <c r="A187" s="29" t="n">
        <v>45950</v>
      </c>
      <c r="B187" s="26" t="inlineStr">
        <is>
          <t>142.0</t>
        </is>
      </c>
      <c r="C187" s="2" t="inlineStr">
        <is>
          <t>ספוט שקל</t>
        </is>
      </c>
      <c r="D187" s="2" t="inlineStr"/>
      <c r="E187" s="26" t="inlineStr">
        <is>
          <t>4400414.0</t>
        </is>
      </c>
      <c r="F187" s="26" t="inlineStr">
        <is>
          <t>4.0</t>
        </is>
      </c>
      <c r="H187" s="21" t="n">
        <v>426107469.96</v>
      </c>
      <c r="I187" s="21" t="n">
        <v>12049923.24</v>
      </c>
      <c r="J187" s="15">
        <f>A187-A188</f>
        <v/>
      </c>
    </row>
    <row r="188">
      <c r="A188" s="29" t="n">
        <v>45947</v>
      </c>
      <c r="B188" s="26" t="inlineStr">
        <is>
          <t>452.0</t>
        </is>
      </c>
      <c r="C188" s="2" t="inlineStr">
        <is>
          <t>רכישה</t>
        </is>
      </c>
      <c r="D188" s="2" t="inlineStr"/>
      <c r="E188" s="26" t="inlineStr">
        <is>
          <t>4400413.0</t>
        </is>
      </c>
      <c r="F188" s="26" t="inlineStr">
        <is>
          <t>2.0</t>
        </is>
      </c>
      <c r="G188" s="21" t="n">
        <v>426110034.58</v>
      </c>
      <c r="I188" s="21" t="n">
        <v>-414057546.72</v>
      </c>
      <c r="J188" s="15">
        <f>A188-A189</f>
        <v/>
      </c>
    </row>
    <row r="189">
      <c r="A189" s="29" t="n">
        <v>45947</v>
      </c>
      <c r="B189" s="26" t="inlineStr">
        <is>
          <t>142.0</t>
        </is>
      </c>
      <c r="C189" s="2" t="inlineStr">
        <is>
          <t>ספוט שקל</t>
        </is>
      </c>
      <c r="D189" s="2" t="inlineStr"/>
      <c r="E189" s="26" t="inlineStr">
        <is>
          <t>4397840.0</t>
        </is>
      </c>
      <c r="F189" s="26" t="inlineStr">
        <is>
          <t>4.0</t>
        </is>
      </c>
      <c r="H189" s="21" t="n">
        <v>422804859.04</v>
      </c>
      <c r="I189" s="21" t="n">
        <v>12052487.86</v>
      </c>
      <c r="J189" s="15">
        <f>A189-A190</f>
        <v/>
      </c>
    </row>
    <row r="190">
      <c r="A190" s="29" t="n">
        <v>45946</v>
      </c>
      <c r="B190" s="26" t="inlineStr">
        <is>
          <t>452.0</t>
        </is>
      </c>
      <c r="C190" s="2" t="inlineStr">
        <is>
          <t>רכישה</t>
        </is>
      </c>
      <c r="D190" s="2" t="inlineStr"/>
      <c r="E190" s="26" t="inlineStr">
        <is>
          <t>4397839.0</t>
        </is>
      </c>
      <c r="F190" s="26" t="inlineStr">
        <is>
          <t>2.0</t>
        </is>
      </c>
      <c r="G190" s="21" t="n">
        <v>422804859.04</v>
      </c>
      <c r="I190" s="21" t="n">
        <v>-410752371.18</v>
      </c>
      <c r="J190" s="15">
        <f>A190-A191</f>
        <v/>
      </c>
    </row>
    <row r="191">
      <c r="A191" s="29" t="n">
        <v>45946</v>
      </c>
      <c r="B191" s="26" t="inlineStr">
        <is>
          <t>142.0</t>
        </is>
      </c>
      <c r="C191" s="2" t="inlineStr">
        <is>
          <t>ספוט שקל</t>
        </is>
      </c>
      <c r="D191" s="2" t="inlineStr"/>
      <c r="E191" s="26" t="inlineStr">
        <is>
          <t>4394267.0</t>
        </is>
      </c>
      <c r="F191" s="26" t="inlineStr">
        <is>
          <t>4.0</t>
        </is>
      </c>
      <c r="H191" s="21" t="n">
        <v>417070107.29</v>
      </c>
      <c r="I191" s="21" t="n">
        <v>12052487.86</v>
      </c>
      <c r="J191" s="15">
        <f>A191-A192</f>
        <v/>
      </c>
    </row>
    <row r="192">
      <c r="A192" s="29" t="n">
        <v>45945</v>
      </c>
      <c r="B192" s="26" t="inlineStr">
        <is>
          <t>452.0</t>
        </is>
      </c>
      <c r="C192" s="2" t="inlineStr">
        <is>
          <t>החלף ריבית</t>
        </is>
      </c>
      <c r="D192" s="2" t="inlineStr"/>
      <c r="E192" s="26" t="inlineStr">
        <is>
          <t>731044.0</t>
        </is>
      </c>
      <c r="F192" s="26" t="inlineStr">
        <is>
          <t>20.0</t>
        </is>
      </c>
      <c r="G192" s="21" t="n">
        <v>569146.03</v>
      </c>
      <c r="I192" s="21" t="n">
        <v>-405017619.43</v>
      </c>
      <c r="J192" s="15">
        <f>A192-A193</f>
        <v/>
      </c>
    </row>
    <row r="193">
      <c r="A193" s="29" t="n">
        <v>45945</v>
      </c>
      <c r="B193" s="26" t="inlineStr">
        <is>
          <t>452.0</t>
        </is>
      </c>
      <c r="C193" s="2" t="inlineStr">
        <is>
          <t>רכישה</t>
        </is>
      </c>
      <c r="D193" s="2" t="inlineStr"/>
      <c r="E193" s="26" t="inlineStr">
        <is>
          <t>4394266.0</t>
        </is>
      </c>
      <c r="F193" s="26" t="inlineStr">
        <is>
          <t>2.0</t>
        </is>
      </c>
      <c r="G193" s="21" t="n">
        <v>417071374.22</v>
      </c>
      <c r="I193" s="21" t="n">
        <v>-404448473.4</v>
      </c>
      <c r="J193" s="15">
        <f>A193-A194</f>
        <v/>
      </c>
    </row>
    <row r="194">
      <c r="A194" s="29" t="n">
        <v>45945</v>
      </c>
      <c r="B194" s="26" t="inlineStr">
        <is>
          <t>142.0</t>
        </is>
      </c>
      <c r="C194" s="2" t="inlineStr">
        <is>
          <t>החלף ריבית</t>
        </is>
      </c>
      <c r="D194" s="2" t="inlineStr"/>
      <c r="E194" s="26" t="inlineStr">
        <is>
          <t>734450.0</t>
        </is>
      </c>
      <c r="F194" s="26" t="inlineStr">
        <is>
          <t>20.0</t>
        </is>
      </c>
      <c r="H194" s="21" t="n">
        <v>569146.03</v>
      </c>
      <c r="I194" s="21" t="n">
        <v>12622900.82</v>
      </c>
      <c r="J194" s="15">
        <f>A194-A195</f>
        <v/>
      </c>
    </row>
    <row r="195">
      <c r="A195" s="29" t="n">
        <v>45945</v>
      </c>
      <c r="B195" s="26" t="inlineStr">
        <is>
          <t>142.0</t>
        </is>
      </c>
      <c r="C195" s="2" t="inlineStr">
        <is>
          <t>ספוט שקל</t>
        </is>
      </c>
      <c r="D195" s="2" t="inlineStr"/>
      <c r="E195" s="26" t="inlineStr">
        <is>
          <t>4386903.0</t>
        </is>
      </c>
      <c r="F195" s="26" t="inlineStr">
        <is>
          <t>4.0</t>
        </is>
      </c>
      <c r="H195" s="21" t="n">
        <v>415281805.27</v>
      </c>
      <c r="I195" s="21" t="n">
        <v>12053754.79</v>
      </c>
      <c r="J195" s="15">
        <f>A195-A196</f>
        <v/>
      </c>
    </row>
    <row r="196">
      <c r="A196" s="29" t="n">
        <v>45943</v>
      </c>
      <c r="B196" s="26" t="inlineStr">
        <is>
          <t>142.0</t>
        </is>
      </c>
      <c r="C196" s="2" t="inlineStr">
        <is>
          <t>החלף מטבע</t>
        </is>
      </c>
      <c r="D196" s="2" t="inlineStr"/>
      <c r="E196" s="26" t="inlineStr">
        <is>
          <t>895195.0</t>
        </is>
      </c>
      <c r="F196" s="26" t="inlineStr">
        <is>
          <t>20.0</t>
        </is>
      </c>
      <c r="H196" s="21" t="n">
        <v>151157.22</v>
      </c>
      <c r="I196" s="21" t="n">
        <v>-403228050.48</v>
      </c>
      <c r="J196" s="15">
        <f>A196-A197</f>
        <v/>
      </c>
    </row>
    <row r="197">
      <c r="A197" s="29" t="n">
        <v>45940</v>
      </c>
      <c r="B197" s="26" t="inlineStr">
        <is>
          <t>452.0</t>
        </is>
      </c>
      <c r="C197" s="2" t="inlineStr">
        <is>
          <t>החלף מטבע</t>
        </is>
      </c>
      <c r="D197" s="2" t="inlineStr"/>
      <c r="E197" s="26" t="inlineStr">
        <is>
          <t>839502.0</t>
        </is>
      </c>
      <c r="F197" s="26" t="inlineStr">
        <is>
          <t>22.0</t>
        </is>
      </c>
      <c r="G197" s="21" t="n">
        <v>2114544.32</v>
      </c>
      <c r="I197" s="21" t="n">
        <v>-403379207.7</v>
      </c>
      <c r="J197" s="15">
        <f>A197-A198</f>
        <v/>
      </c>
    </row>
    <row r="198">
      <c r="A198" s="29" t="n">
        <v>45940</v>
      </c>
      <c r="B198" s="26" t="inlineStr">
        <is>
          <t>452.0</t>
        </is>
      </c>
      <c r="C198" s="2" t="inlineStr">
        <is>
          <t>ספוט שקל</t>
        </is>
      </c>
      <c r="D198" s="2" t="inlineStr"/>
      <c r="E198" s="26" t="inlineStr">
        <is>
          <t>4386902.0</t>
        </is>
      </c>
      <c r="F198" s="26" t="inlineStr">
        <is>
          <t>4.0</t>
        </is>
      </c>
      <c r="G198" s="21" t="n">
        <v>415261367.93</v>
      </c>
      <c r="I198" s="21" t="n">
        <v>-401264663.38</v>
      </c>
      <c r="J198" s="15">
        <f>A198-A199</f>
        <v/>
      </c>
    </row>
    <row r="199">
      <c r="A199" s="29" t="n">
        <v>45940</v>
      </c>
      <c r="B199" s="26" t="inlineStr">
        <is>
          <t>452.0</t>
        </is>
      </c>
      <c r="C199" s="2" t="inlineStr">
        <is>
          <t>ספוט שקל</t>
        </is>
      </c>
      <c r="D199" s="2" t="inlineStr"/>
      <c r="E199" s="26" t="inlineStr">
        <is>
          <t>4386893.0</t>
        </is>
      </c>
      <c r="F199" s="26" t="inlineStr">
        <is>
          <t>4.0</t>
        </is>
      </c>
      <c r="G199" s="21" t="n">
        <v>214568636.75</v>
      </c>
      <c r="I199" s="21" t="n">
        <v>13996704.55</v>
      </c>
      <c r="J199" s="15">
        <f>A199-A200</f>
        <v/>
      </c>
    </row>
    <row r="200">
      <c r="A200" s="29" t="n">
        <v>45940</v>
      </c>
      <c r="B200" s="26" t="inlineStr">
        <is>
          <t>142.0</t>
        </is>
      </c>
      <c r="C200" s="2" t="inlineStr">
        <is>
          <t>פורוורד שקל</t>
        </is>
      </c>
      <c r="D200" s="2" t="inlineStr"/>
      <c r="E200" s="26" t="inlineStr">
        <is>
          <t>4380937.0</t>
        </is>
      </c>
      <c r="F200" s="26" t="inlineStr">
        <is>
          <t>6.0</t>
        </is>
      </c>
      <c r="H200" s="21" t="n">
        <v>633905453.27</v>
      </c>
      <c r="I200" s="21" t="n">
        <v>228565341.3</v>
      </c>
      <c r="J200" s="15">
        <f>A200-A201</f>
        <v/>
      </c>
    </row>
    <row r="201">
      <c r="A201" s="29" t="n">
        <v>45939</v>
      </c>
      <c r="B201" s="26" t="inlineStr">
        <is>
          <t>142.0</t>
        </is>
      </c>
      <c r="C201" s="2" t="inlineStr">
        <is>
          <t>המרה</t>
        </is>
      </c>
      <c r="D201" s="2" t="inlineStr"/>
      <c r="E201" s="26" t="inlineStr">
        <is>
          <t>4386892.0</t>
        </is>
      </c>
      <c r="F201" s="26" t="inlineStr">
        <is>
          <t>1.0</t>
        </is>
      </c>
      <c r="H201" s="21" t="n">
        <v>214565996.75</v>
      </c>
      <c r="I201" s="21" t="n">
        <v>-405340111.97</v>
      </c>
      <c r="J201" s="15">
        <f>A201-A202</f>
        <v/>
      </c>
    </row>
    <row r="202">
      <c r="A202" s="29" t="n">
        <v>45938</v>
      </c>
      <c r="B202" s="26" t="inlineStr">
        <is>
          <t>452.0</t>
        </is>
      </c>
      <c r="C202" s="2" t="inlineStr">
        <is>
          <t>החלף מטבע</t>
        </is>
      </c>
      <c r="D202" s="2" t="inlineStr"/>
      <c r="E202" s="26" t="inlineStr">
        <is>
          <t>839502.0</t>
        </is>
      </c>
      <c r="F202" s="26" t="inlineStr">
        <is>
          <t>22.0</t>
        </is>
      </c>
      <c r="G202" s="21" t="n">
        <v>243870000</v>
      </c>
      <c r="I202" s="21" t="n">
        <v>-619906108.72</v>
      </c>
      <c r="J202" s="15">
        <f>A202-A203</f>
        <v/>
      </c>
    </row>
    <row r="203">
      <c r="A203" s="29" t="n">
        <v>45938</v>
      </c>
      <c r="B203" s="26" t="inlineStr">
        <is>
          <t>452.0</t>
        </is>
      </c>
      <c r="C203" s="2" t="inlineStr">
        <is>
          <t>ספוט שקל</t>
        </is>
      </c>
      <c r="D203" s="2" t="inlineStr"/>
      <c r="E203" s="26" t="inlineStr">
        <is>
          <t>4380936.0</t>
        </is>
      </c>
      <c r="F203" s="26" t="inlineStr">
        <is>
          <t>4.0</t>
        </is>
      </c>
      <c r="G203" s="21" t="n">
        <v>633895766.6</v>
      </c>
      <c r="I203" s="21" t="n">
        <v>-376036108.72</v>
      </c>
      <c r="J203" s="15">
        <f>A203-A204</f>
        <v/>
      </c>
    </row>
    <row r="204">
      <c r="A204" s="29" t="n">
        <v>45938</v>
      </c>
      <c r="B204" s="26" t="inlineStr">
        <is>
          <t>142.0</t>
        </is>
      </c>
      <c r="C204" s="2" t="inlineStr">
        <is>
          <t>החלף מטבע</t>
        </is>
      </c>
      <c r="D204" s="2" t="inlineStr"/>
      <c r="E204" s="26" t="inlineStr">
        <is>
          <t>896149.0</t>
        </is>
      </c>
      <c r="F204" s="26" t="inlineStr">
        <is>
          <t>20.0</t>
        </is>
      </c>
      <c r="H204" s="21" t="n">
        <v>1541.56</v>
      </c>
      <c r="I204" s="21" t="n">
        <v>257859657.88</v>
      </c>
      <c r="J204" s="15">
        <f>A204-A205</f>
        <v/>
      </c>
    </row>
    <row r="205">
      <c r="A205" s="29" t="n">
        <v>45938</v>
      </c>
      <c r="B205" s="26" t="inlineStr">
        <is>
          <t>142.0</t>
        </is>
      </c>
      <c r="C205" s="2" t="inlineStr">
        <is>
          <t>ספוט שקל</t>
        </is>
      </c>
      <c r="D205" s="2" t="inlineStr"/>
      <c r="E205" s="26" t="inlineStr">
        <is>
          <t>4378618.0</t>
        </is>
      </c>
      <c r="F205" s="26" t="inlineStr">
        <is>
          <t>4.0</t>
        </is>
      </c>
      <c r="H205" s="21" t="n">
        <v>642831720.83</v>
      </c>
      <c r="I205" s="21" t="n">
        <v>257858116.32</v>
      </c>
      <c r="J205" s="15">
        <f>A205-A206</f>
        <v/>
      </c>
    </row>
    <row r="206">
      <c r="A206" s="29" t="n">
        <v>45936</v>
      </c>
      <c r="B206" s="26" t="inlineStr">
        <is>
          <t>472.0</t>
        </is>
      </c>
      <c r="C206" s="2" t="inlineStr">
        <is>
          <t>רבית (תאריך ערך: 03/10)</t>
        </is>
      </c>
      <c r="D206" s="2" t="inlineStr"/>
      <c r="E206" s="26" t="inlineStr">
        <is>
          <t>925.0</t>
        </is>
      </c>
      <c r="F206" s="26" t="inlineStr">
        <is>
          <t>0.0</t>
        </is>
      </c>
      <c r="G206" s="21" t="n">
        <v>4973620.37</v>
      </c>
      <c r="I206" s="21" t="n">
        <v>-384973604.51</v>
      </c>
      <c r="J206" s="15">
        <f>A206-A207</f>
        <v/>
      </c>
    </row>
    <row r="207">
      <c r="A207" s="29" t="n">
        <v>45933</v>
      </c>
      <c r="B207" s="26" t="inlineStr">
        <is>
          <t>452.0</t>
        </is>
      </c>
      <c r="C207" s="2" t="inlineStr">
        <is>
          <t>החלף מטבע</t>
        </is>
      </c>
      <c r="D207" s="2" t="inlineStr"/>
      <c r="E207" s="26" t="inlineStr">
        <is>
          <t>881990.0</t>
        </is>
      </c>
      <c r="F207" s="26" t="inlineStr">
        <is>
          <t>20.0</t>
        </is>
      </c>
      <c r="G207" s="21" t="n">
        <v>197944.5</v>
      </c>
      <c r="I207" s="21" t="n">
        <v>-379999984.14</v>
      </c>
      <c r="J207" s="15">
        <f>A207-A208</f>
        <v/>
      </c>
    </row>
    <row r="208">
      <c r="A208" s="29" t="n">
        <v>45933</v>
      </c>
      <c r="B208" s="26" t="inlineStr">
        <is>
          <t>452.0</t>
        </is>
      </c>
      <c r="C208" s="2" t="inlineStr">
        <is>
          <t>רכישה</t>
        </is>
      </c>
      <c r="D208" s="2" t="inlineStr"/>
      <c r="E208" s="26" t="inlineStr">
        <is>
          <t>4378617.0</t>
        </is>
      </c>
      <c r="F208" s="26" t="inlineStr">
        <is>
          <t>2.0</t>
        </is>
      </c>
      <c r="G208" s="21" t="n">
        <v>642807504.15</v>
      </c>
      <c r="I208" s="21" t="n">
        <v>-379802039.64</v>
      </c>
      <c r="J208" s="15">
        <f>A208-A209</f>
        <v/>
      </c>
    </row>
    <row r="209">
      <c r="A209" s="29" t="n">
        <v>45933</v>
      </c>
      <c r="B209" s="26" t="inlineStr">
        <is>
          <t>142.0</t>
        </is>
      </c>
      <c r="C209" s="2" t="inlineStr">
        <is>
          <t>ספוט שקל</t>
        </is>
      </c>
      <c r="D209" s="2" t="inlineStr"/>
      <c r="E209" s="26" t="inlineStr">
        <is>
          <t>4375142.0</t>
        </is>
      </c>
      <c r="F209" s="26" t="inlineStr">
        <is>
          <t>4.0</t>
        </is>
      </c>
      <c r="H209" s="21" t="n">
        <v>640268949.05</v>
      </c>
      <c r="I209" s="21" t="n">
        <v>263005464.51</v>
      </c>
      <c r="J209" s="15">
        <f>A209-A210</f>
        <v/>
      </c>
    </row>
    <row r="210">
      <c r="A210" s="29" t="n">
        <v>45933</v>
      </c>
      <c r="B210" s="26" t="inlineStr">
        <is>
          <t>121.0</t>
        </is>
      </c>
      <c r="C210" s="2" t="inlineStr">
        <is>
          <t>ני"ע-פדיון</t>
        </is>
      </c>
      <c r="D210" s="2" t="inlineStr"/>
      <c r="E210" s="26" t="inlineStr">
        <is>
          <t>1158609.0</t>
        </is>
      </c>
      <c r="F210" s="26" t="inlineStr">
        <is>
          <t>9997.0</t>
        </is>
      </c>
      <c r="H210" s="21" t="n">
        <v>281667.11</v>
      </c>
      <c r="I210" s="21" t="n">
        <v>-377263484.54</v>
      </c>
      <c r="J210" s="15">
        <f>A210-A211</f>
        <v/>
      </c>
    </row>
    <row r="211">
      <c r="A211" s="29" t="n">
        <v>45933</v>
      </c>
      <c r="B211" s="26" t="inlineStr">
        <is>
          <t>121.0</t>
        </is>
      </c>
      <c r="C211" s="2" t="inlineStr">
        <is>
          <t>ני"ע-תש' ריבית</t>
        </is>
      </c>
      <c r="D211" s="2" t="inlineStr"/>
      <c r="E211" s="26" t="inlineStr">
        <is>
          <t>1158609.0</t>
        </is>
      </c>
      <c r="F211" s="26" t="inlineStr">
        <is>
          <t>9997.0</t>
        </is>
      </c>
      <c r="H211" s="21" t="n">
        <v>32110.06</v>
      </c>
      <c r="I211" s="21" t="n">
        <v>-377545151.65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P212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22" customWidth="1" min="3" max="3"/>
    <col width="18" customWidth="1" min="4" max="4"/>
    <col width="14" customWidth="1" min="5" max="5"/>
    <col width="8" customWidth="1" min="6" max="6"/>
    <col width="18" customWidth="1" min="7" max="7"/>
    <col width="18" customWidth="1" min="8" max="8"/>
    <col width="18" customWidth="1" min="9" max="9"/>
    <col width="16" customWidth="1" min="10" max="10"/>
    <col width="18" customWidth="1" min="11" max="11"/>
    <col width="8" customWidth="1" min="12" max="12"/>
    <col width="14" customWidth="1" min="13" max="13"/>
    <col width="14" customWidth="1" min="14" max="14"/>
    <col width="16" customWidth="1" min="15" max="15"/>
    <col width="18" customWidth="1" min="16" max="16"/>
  </cols>
  <sheetData>
    <row r="3">
      <c r="A3" s="4" t="inlineStr">
        <is>
          <t>תנועות בחשבון</t>
        </is>
      </c>
      <c r="J3" s="3" t="inlineStr">
        <is>
          <t>תיאום</t>
        </is>
      </c>
      <c r="K3" s="3" t="inlineStr">
        <is>
          <t>יתרה מתואמת</t>
        </is>
      </c>
      <c r="M3" s="5" t="n">
        <v>0.0485</v>
      </c>
      <c r="N3" s="5" t="n">
        <v>0.046</v>
      </c>
    </row>
    <row r="4">
      <c r="A4" s="29" t="n">
        <v>46022</v>
      </c>
      <c r="B4" s="26" t="inlineStr">
        <is>
          <t>452.0</t>
        </is>
      </c>
      <c r="C4" s="2" t="inlineStr">
        <is>
          <t>החלף ריבית</t>
        </is>
      </c>
      <c r="D4" s="2" t="inlineStr"/>
      <c r="E4" s="26" t="inlineStr">
        <is>
          <t>684942.0</t>
        </is>
      </c>
      <c r="F4" s="26" t="inlineStr">
        <is>
          <t>20.0</t>
        </is>
      </c>
      <c r="G4" s="21" t="n">
        <v>312414.2</v>
      </c>
      <c r="L4" s="15" t="n">
        <v>1</v>
      </c>
      <c r="N4" s="20">
        <f>IF(AND(L4&gt;0,I4&lt;0),I4/365*L4*$N$3,"")</f>
        <v/>
      </c>
    </row>
    <row r="5">
      <c r="A5" s="29" t="n">
        <v>46022</v>
      </c>
      <c r="B5" s="26" t="inlineStr">
        <is>
          <t>452.0</t>
        </is>
      </c>
      <c r="C5" s="2" t="inlineStr">
        <is>
          <t>רכישה</t>
        </is>
      </c>
      <c r="D5" s="2" t="inlineStr"/>
      <c r="E5" s="26" t="inlineStr">
        <is>
          <t>4549312.0</t>
        </is>
      </c>
      <c r="F5" s="26" t="inlineStr">
        <is>
          <t>2.0</t>
        </is>
      </c>
      <c r="G5" s="21" t="n">
        <v>149142000</v>
      </c>
      <c r="I5" s="21" t="n">
        <v>312414.2</v>
      </c>
      <c r="L5" s="15">
        <f>A4-A5</f>
        <v/>
      </c>
      <c r="N5" s="20">
        <f>IF(AND(L5&gt;0,I5&lt;0),I5/365*L5*$N$3,"")</f>
        <v/>
      </c>
    </row>
    <row r="6">
      <c r="A6" s="29" t="n">
        <v>46022</v>
      </c>
      <c r="B6" s="26" t="inlineStr">
        <is>
          <t>142.0</t>
        </is>
      </c>
      <c r="C6" s="2" t="inlineStr">
        <is>
          <t>החלף מטבע</t>
        </is>
      </c>
      <c r="D6" s="2" t="inlineStr"/>
      <c r="E6" s="26" t="inlineStr">
        <is>
          <t>808890.0</t>
        </is>
      </c>
      <c r="F6" s="26" t="inlineStr">
        <is>
          <t>20.0</t>
        </is>
      </c>
      <c r="H6" s="21" t="n">
        <v>30841.63</v>
      </c>
      <c r="I6" s="21" t="n">
        <v>149454414.2</v>
      </c>
      <c r="L6" s="15">
        <f>A5-A6</f>
        <v/>
      </c>
      <c r="N6" s="20">
        <f>IF(AND(L6&gt;0,I6&lt;0),I6/365*L6*$N$3,"")</f>
        <v/>
      </c>
    </row>
    <row r="7">
      <c r="A7" s="29" t="n">
        <v>46022</v>
      </c>
      <c r="B7" s="26" t="inlineStr">
        <is>
          <t>121.0</t>
        </is>
      </c>
      <c r="C7" s="2" t="inlineStr">
        <is>
          <t>ני"ע-תש' ריבית</t>
        </is>
      </c>
      <c r="D7" s="2" t="inlineStr"/>
      <c r="E7" s="26" t="inlineStr">
        <is>
          <t>6120224.0</t>
        </is>
      </c>
      <c r="F7" s="26" t="inlineStr">
        <is>
          <t>9997.0</t>
        </is>
      </c>
      <c r="H7" s="21" t="n">
        <v>27911.61</v>
      </c>
      <c r="I7" s="21" t="n">
        <v>149423572.57</v>
      </c>
      <c r="L7" s="15">
        <f>A6-A7</f>
        <v/>
      </c>
      <c r="N7" s="20">
        <f>IF(AND(L7&gt;0,I7&lt;0),I7/365*L7*$N$3,"")</f>
        <v/>
      </c>
    </row>
    <row r="8">
      <c r="A8" s="29" t="n">
        <v>46022</v>
      </c>
      <c r="B8" s="26" t="inlineStr">
        <is>
          <t>121.0</t>
        </is>
      </c>
      <c r="C8" s="2" t="inlineStr">
        <is>
          <t>ני"ע-פדיון</t>
        </is>
      </c>
      <c r="D8" s="2" t="inlineStr"/>
      <c r="E8" s="26" t="inlineStr">
        <is>
          <t>6120224.0</t>
        </is>
      </c>
      <c r="F8" s="26" t="inlineStr">
        <is>
          <t>9997.0</t>
        </is>
      </c>
      <c r="H8" s="21" t="n">
        <v>413505.32</v>
      </c>
      <c r="I8" s="21" t="n">
        <v>149395660.96</v>
      </c>
      <c r="L8" s="15">
        <f>A7-A8</f>
        <v/>
      </c>
      <c r="N8" s="20">
        <f>IF(AND(L8&gt;0,I8&lt;0),I8/365*L8*$N$3,"")</f>
        <v/>
      </c>
    </row>
    <row r="9">
      <c r="A9" s="29" t="n">
        <v>46022</v>
      </c>
      <c r="B9" s="26" t="inlineStr">
        <is>
          <t>469.0</t>
        </is>
      </c>
      <c r="C9" s="2" t="inlineStr">
        <is>
          <t>הוראת-קבע</t>
        </is>
      </c>
      <c r="D9" s="2" t="inlineStr"/>
      <c r="E9" s="26" t="inlineStr">
        <is>
          <t>600672577.0</t>
        </is>
      </c>
      <c r="F9" s="26" t="inlineStr">
        <is>
          <t>33333.0</t>
        </is>
      </c>
      <c r="G9" s="21" t="n">
        <v>-148982155.64</v>
      </c>
      <c r="I9" s="21" t="n">
        <v>148982155.64</v>
      </c>
      <c r="L9" s="15">
        <f>A8-A9</f>
        <v/>
      </c>
      <c r="N9" s="20">
        <f>IF(AND(L9&gt;0,I9&lt;0),I9/365*L9*$N$3,"")</f>
        <v/>
      </c>
    </row>
    <row r="10">
      <c r="A10" s="29" t="n">
        <v>46021</v>
      </c>
      <c r="B10" s="26" t="inlineStr">
        <is>
          <t>469.0</t>
        </is>
      </c>
      <c r="C10" s="2" t="inlineStr">
        <is>
          <t>הוראת-קבע</t>
        </is>
      </c>
      <c r="D10" s="2" t="inlineStr"/>
      <c r="E10" s="26" t="inlineStr">
        <is>
          <t>600672577.0</t>
        </is>
      </c>
      <c r="F10" s="26" t="inlineStr">
        <is>
          <t>33333.0</t>
        </is>
      </c>
      <c r="G10" s="21" t="n">
        <v>423137.81</v>
      </c>
      <c r="L10" s="15">
        <f>A9-A10</f>
        <v/>
      </c>
      <c r="N10" s="20">
        <f>IF(AND(L10&gt;0,I10&lt;0),I10/365*L10*$N$3,"")</f>
        <v/>
      </c>
    </row>
    <row r="11">
      <c r="A11" s="29" t="n">
        <v>46021</v>
      </c>
      <c r="B11" s="26" t="inlineStr">
        <is>
          <t>142.0</t>
        </is>
      </c>
      <c r="C11" s="2" t="inlineStr">
        <is>
          <t>ספוט שקל</t>
        </is>
      </c>
      <c r="D11" s="2" t="inlineStr"/>
      <c r="E11" s="26" t="inlineStr">
        <is>
          <t>4542247.0</t>
        </is>
      </c>
      <c r="F11" s="26" t="inlineStr">
        <is>
          <t>4.0</t>
        </is>
      </c>
      <c r="H11" s="21" t="n">
        <v>423137.81</v>
      </c>
      <c r="I11" s="21" t="n">
        <v>423137.81</v>
      </c>
      <c r="L11" s="15">
        <f>A10-A11</f>
        <v/>
      </c>
      <c r="N11" s="20">
        <f>IF(AND(L11&gt;0,I11&lt;0),I11/365*L11*$N$3,"")</f>
        <v/>
      </c>
    </row>
    <row r="12">
      <c r="A12" s="29" t="n">
        <v>46020</v>
      </c>
      <c r="B12" s="26" t="inlineStr">
        <is>
          <t>469.0</t>
        </is>
      </c>
      <c r="C12" s="2" t="inlineStr">
        <is>
          <t>הוראת-קבע</t>
        </is>
      </c>
      <c r="D12" s="2" t="inlineStr"/>
      <c r="E12" s="26" t="inlineStr">
        <is>
          <t>600672577.0</t>
        </is>
      </c>
      <c r="F12" s="26" t="inlineStr">
        <is>
          <t>33333.0</t>
        </is>
      </c>
      <c r="G12" s="21" t="n">
        <v>4528015.18</v>
      </c>
      <c r="L12" s="15">
        <f>A11-A12</f>
        <v/>
      </c>
      <c r="N12" s="20">
        <f>IF(AND(L12&gt;0,I12&lt;0),I12/365*L12*$N$3,"")</f>
        <v/>
      </c>
    </row>
    <row r="13">
      <c r="A13" s="29" t="n">
        <v>46020</v>
      </c>
      <c r="B13" s="26" t="inlineStr">
        <is>
          <t>452.0</t>
        </is>
      </c>
      <c r="C13" s="2" t="inlineStr">
        <is>
          <t>החלף ריבית</t>
        </is>
      </c>
      <c r="D13" s="2" t="inlineStr"/>
      <c r="E13" s="26" t="inlineStr">
        <is>
          <t>684900.0</t>
        </is>
      </c>
      <c r="F13" s="26" t="inlineStr">
        <is>
          <t>20.0</t>
        </is>
      </c>
      <c r="G13" s="21" t="n">
        <v>206178.27</v>
      </c>
      <c r="I13" s="21" t="n">
        <v>4528015.18</v>
      </c>
      <c r="L13" s="15">
        <f>A12-A13</f>
        <v/>
      </c>
      <c r="N13" s="20">
        <f>IF(AND(L13&gt;0,I13&lt;0),I13/365*L13*$N$3,"")</f>
        <v/>
      </c>
    </row>
    <row r="14">
      <c r="A14" s="29" t="n">
        <v>46020</v>
      </c>
      <c r="B14" s="26" t="inlineStr">
        <is>
          <t>452.0</t>
        </is>
      </c>
      <c r="C14" s="2" t="inlineStr">
        <is>
          <t>ספוט שקל</t>
        </is>
      </c>
      <c r="D14" s="2" t="inlineStr"/>
      <c r="E14" s="26" t="inlineStr">
        <is>
          <t>4538613.0</t>
        </is>
      </c>
      <c r="F14" s="26" t="inlineStr">
        <is>
          <t>4.0</t>
        </is>
      </c>
      <c r="G14" s="21" t="n">
        <v>37566970</v>
      </c>
      <c r="I14" s="21" t="n">
        <v>4734193.45</v>
      </c>
      <c r="L14" s="15">
        <f>A13-A14</f>
        <v/>
      </c>
      <c r="N14" s="20">
        <f>IF(AND(L14&gt;0,I14&lt;0),I14/365*L14*$N$3,"")</f>
        <v/>
      </c>
    </row>
    <row r="15">
      <c r="A15" s="29" t="n">
        <v>46020</v>
      </c>
      <c r="B15" s="26" t="inlineStr">
        <is>
          <t>452.0</t>
        </is>
      </c>
      <c r="C15" s="2" t="inlineStr">
        <is>
          <t>פורוורד שקל</t>
        </is>
      </c>
      <c r="D15" s="2" t="inlineStr"/>
      <c r="E15" s="26" t="inlineStr">
        <is>
          <t>4538536.0</t>
        </is>
      </c>
      <c r="F15" s="26" t="inlineStr">
        <is>
          <t>6.0</t>
        </is>
      </c>
      <c r="G15" s="21" t="n">
        <v>656397466.74</v>
      </c>
      <c r="I15" s="21" t="n">
        <v>42301163.45</v>
      </c>
      <c r="L15" s="15">
        <f>A14-A15</f>
        <v/>
      </c>
      <c r="N15" s="20">
        <f>IF(AND(L15&gt;0,I15&lt;0),I15/365*L15*$N$3,"")</f>
        <v/>
      </c>
    </row>
    <row r="16">
      <c r="A16" s="29" t="n">
        <v>46020</v>
      </c>
      <c r="B16" s="26" t="inlineStr">
        <is>
          <t>142.0</t>
        </is>
      </c>
      <c r="C16" s="2" t="inlineStr">
        <is>
          <t>החלף ריבית</t>
        </is>
      </c>
      <c r="D16" s="2" t="inlineStr"/>
      <c r="E16" s="26" t="inlineStr">
        <is>
          <t>684938.0</t>
        </is>
      </c>
      <c r="F16" s="26" t="inlineStr">
        <is>
          <t>20.0</t>
        </is>
      </c>
      <c r="H16" s="21" t="n">
        <v>515390.36</v>
      </c>
      <c r="I16" s="21" t="n">
        <v>698698630.1900001</v>
      </c>
      <c r="L16" s="15">
        <f>A15-A16</f>
        <v/>
      </c>
      <c r="N16" s="20">
        <f>IF(AND(L16&gt;0,I16&lt;0),I16/365*L16*$N$3,"")</f>
        <v/>
      </c>
    </row>
    <row r="17">
      <c r="A17" s="29" t="n">
        <v>46020</v>
      </c>
      <c r="B17" s="26" t="inlineStr">
        <is>
          <t>142.0</t>
        </is>
      </c>
      <c r="C17" s="2" t="inlineStr">
        <is>
          <t>המרה</t>
        </is>
      </c>
      <c r="D17" s="2" t="inlineStr"/>
      <c r="E17" s="26" t="inlineStr">
        <is>
          <t>4543582.0</t>
        </is>
      </c>
      <c r="F17" s="26" t="inlineStr">
        <is>
          <t>1.0</t>
        </is>
      </c>
      <c r="H17" s="21" t="n">
        <v>101151.03</v>
      </c>
      <c r="I17" s="21" t="n">
        <v>698183239.83</v>
      </c>
      <c r="L17" s="15">
        <f>A16-A17</f>
        <v/>
      </c>
      <c r="N17" s="20">
        <f>IF(AND(L17&gt;0,I17&lt;0),I17/365*L17*$N$3,"")</f>
        <v/>
      </c>
    </row>
    <row r="18">
      <c r="A18" s="29" t="n">
        <v>46020</v>
      </c>
      <c r="B18" s="26" t="inlineStr">
        <is>
          <t>142.0</t>
        </is>
      </c>
      <c r="C18" s="2" t="inlineStr">
        <is>
          <t>פורוורד שקל</t>
        </is>
      </c>
      <c r="D18" s="2" t="inlineStr"/>
      <c r="E18" s="26" t="inlineStr">
        <is>
          <t>4535466.0</t>
        </is>
      </c>
      <c r="F18" s="26" t="inlineStr">
        <is>
          <t>6.0</t>
        </is>
      </c>
      <c r="H18" s="21" t="n">
        <v>660110588.8</v>
      </c>
      <c r="I18" s="21" t="n">
        <v>698082088.8</v>
      </c>
      <c r="L18" s="15">
        <f>A17-A18</f>
        <v/>
      </c>
      <c r="N18" s="20">
        <f>IF(AND(L18&gt;0,I18&lt;0),I18/365*L18*$N$3,"")</f>
        <v/>
      </c>
    </row>
    <row r="19">
      <c r="A19" s="29" t="n">
        <v>46020</v>
      </c>
      <c r="B19" s="26" t="inlineStr">
        <is>
          <t>142.0</t>
        </is>
      </c>
      <c r="C19" s="2" t="inlineStr">
        <is>
          <t>פורוורד שקל</t>
        </is>
      </c>
      <c r="D19" s="2" t="inlineStr"/>
      <c r="E19" s="26" t="inlineStr">
        <is>
          <t>4523586.0</t>
        </is>
      </c>
      <c r="F19" s="26" t="inlineStr">
        <is>
          <t>6.0</t>
        </is>
      </c>
      <c r="H19" s="21" t="n">
        <v>37971500</v>
      </c>
      <c r="I19" s="21" t="n">
        <v>37971500</v>
      </c>
      <c r="L19" s="15">
        <f>A18-A19</f>
        <v/>
      </c>
      <c r="N19" s="20">
        <f>IF(AND(L19&gt;0,I19&lt;0),I19/365*L19*$N$3,"")</f>
        <v/>
      </c>
    </row>
    <row r="20">
      <c r="A20" s="29" t="n">
        <v>46014</v>
      </c>
      <c r="B20" s="26" t="inlineStr">
        <is>
          <t>469.0</t>
        </is>
      </c>
      <c r="C20" s="2" t="inlineStr">
        <is>
          <t>הוראת-קבע</t>
        </is>
      </c>
      <c r="D20" s="2" t="inlineStr"/>
      <c r="E20" s="26" t="inlineStr">
        <is>
          <t>600672577.0</t>
        </is>
      </c>
      <c r="F20" s="26" t="inlineStr">
        <is>
          <t>33333.0</t>
        </is>
      </c>
      <c r="G20" s="21" t="n">
        <v>622516.12</v>
      </c>
      <c r="L20" s="15">
        <f>A19-A20</f>
        <v/>
      </c>
      <c r="N20" s="20">
        <f>IF(AND(L20&gt;0,I20&lt;0),I20/365*L20*$N$3,"")</f>
        <v/>
      </c>
    </row>
    <row r="21">
      <c r="A21" s="29" t="n">
        <v>46014</v>
      </c>
      <c r="B21" s="26" t="inlineStr">
        <is>
          <t>452.0</t>
        </is>
      </c>
      <c r="C21" s="2" t="inlineStr">
        <is>
          <t>רכישה</t>
        </is>
      </c>
      <c r="D21" s="2" t="inlineStr"/>
      <c r="E21" s="26" t="inlineStr">
        <is>
          <t>4535465.0</t>
        </is>
      </c>
      <c r="F21" s="26" t="inlineStr">
        <is>
          <t>2.0</t>
        </is>
      </c>
      <c r="G21" s="21" t="n">
        <v>660110588.8</v>
      </c>
      <c r="I21" s="21" t="n">
        <v>622516.12</v>
      </c>
      <c r="L21" s="15">
        <f>A20-A21</f>
        <v/>
      </c>
      <c r="N21" s="20">
        <f>IF(AND(L21&gt;0,I21&lt;0),I21/365*L21*$N$3,"")</f>
        <v/>
      </c>
    </row>
    <row r="22">
      <c r="A22" s="29" t="n">
        <v>46014</v>
      </c>
      <c r="B22" s="26" t="inlineStr">
        <is>
          <t>142.0</t>
        </is>
      </c>
      <c r="C22" s="2" t="inlineStr">
        <is>
          <t>ספוט שקל</t>
        </is>
      </c>
      <c r="D22" s="2" t="inlineStr"/>
      <c r="E22" s="26" t="inlineStr">
        <is>
          <t>4532294.0</t>
        </is>
      </c>
      <c r="F22" s="26" t="inlineStr">
        <is>
          <t>4.0</t>
        </is>
      </c>
      <c r="H22" s="21" t="n">
        <v>660733104.92</v>
      </c>
      <c r="I22" s="21" t="n">
        <v>660733104.92</v>
      </c>
      <c r="L22" s="15">
        <f>A21-A22</f>
        <v/>
      </c>
      <c r="N22" s="20">
        <f>IF(AND(L22&gt;0,I22&lt;0),I22/365*L22*$N$3,"")</f>
        <v/>
      </c>
    </row>
    <row r="23">
      <c r="A23" s="29" t="n">
        <v>46013</v>
      </c>
      <c r="B23" s="26" t="inlineStr">
        <is>
          <t>469.0</t>
        </is>
      </c>
      <c r="C23" s="2" t="inlineStr">
        <is>
          <t>הוראת-קבע</t>
        </is>
      </c>
      <c r="D23" s="2" t="inlineStr"/>
      <c r="E23" s="26" t="inlineStr">
        <is>
          <t>600672577.0</t>
        </is>
      </c>
      <c r="F23" s="26" t="inlineStr">
        <is>
          <t>33333.0</t>
        </is>
      </c>
      <c r="G23" s="21" t="n">
        <v>3766865.34</v>
      </c>
      <c r="L23" s="15">
        <f>A22-A23</f>
        <v/>
      </c>
      <c r="N23" s="20">
        <f>IF(AND(L23&gt;0,I23&lt;0),I23/365*L23*$N$3,"")</f>
        <v/>
      </c>
    </row>
    <row r="24">
      <c r="A24" s="29" t="n">
        <v>46013</v>
      </c>
      <c r="B24" s="26" t="inlineStr">
        <is>
          <t>452.0</t>
        </is>
      </c>
      <c r="C24" s="2" t="inlineStr">
        <is>
          <t>רכישה</t>
        </is>
      </c>
      <c r="D24" s="2" t="inlineStr"/>
      <c r="E24" s="26" t="inlineStr">
        <is>
          <t>4532293.0</t>
        </is>
      </c>
      <c r="F24" s="26" t="inlineStr">
        <is>
          <t>2.0</t>
        </is>
      </c>
      <c r="G24" s="21" t="n">
        <v>660731046.5700001</v>
      </c>
      <c r="I24" s="21" t="n">
        <v>3766865.34</v>
      </c>
      <c r="L24" s="15">
        <f>A23-A24</f>
        <v/>
      </c>
      <c r="N24" s="20">
        <f>IF(AND(L24&gt;0,I24&lt;0),I24/365*L24*$N$3,"")</f>
        <v/>
      </c>
    </row>
    <row r="25">
      <c r="A25" s="29" t="n">
        <v>46013</v>
      </c>
      <c r="B25" s="26" t="inlineStr">
        <is>
          <t>142.0</t>
        </is>
      </c>
      <c r="C25" s="2" t="inlineStr">
        <is>
          <t>המרה</t>
        </is>
      </c>
      <c r="D25" s="2" t="inlineStr"/>
      <c r="E25" s="26" t="inlineStr">
        <is>
          <t>4533804.0</t>
        </is>
      </c>
      <c r="F25" s="26" t="inlineStr">
        <is>
          <t>1.0</t>
        </is>
      </c>
      <c r="H25" s="21" t="n">
        <v>1787951.91</v>
      </c>
      <c r="I25" s="21" t="n">
        <v>664497911.91</v>
      </c>
      <c r="L25" s="15">
        <f>A24-A25</f>
        <v/>
      </c>
      <c r="N25" s="20">
        <f>IF(AND(L25&gt;0,I25&lt;0),I25/365*L25*$N$3,"")</f>
        <v/>
      </c>
    </row>
    <row r="26">
      <c r="A26" s="29" t="n">
        <v>46013</v>
      </c>
      <c r="B26" s="26" t="inlineStr">
        <is>
          <t>142.0</t>
        </is>
      </c>
      <c r="C26" s="2" t="inlineStr">
        <is>
          <t>פורוורד שקל</t>
        </is>
      </c>
      <c r="D26" s="2" t="inlineStr"/>
      <c r="E26" s="26" t="inlineStr">
        <is>
          <t>4524936.0</t>
        </is>
      </c>
      <c r="F26" s="26" t="inlineStr">
        <is>
          <t>6.0</t>
        </is>
      </c>
      <c r="H26" s="21" t="n">
        <v>579628800</v>
      </c>
      <c r="I26" s="21" t="n">
        <v>662709960</v>
      </c>
      <c r="L26" s="15">
        <f>A25-A26</f>
        <v/>
      </c>
      <c r="N26" s="20">
        <f>IF(AND(L26&gt;0,I26&lt;0),I26/365*L26*$N$3,"")</f>
        <v/>
      </c>
    </row>
    <row r="27">
      <c r="A27" s="29" t="n">
        <v>46013</v>
      </c>
      <c r="B27" s="26" t="inlineStr">
        <is>
          <t>142.0</t>
        </is>
      </c>
      <c r="C27" s="2" t="inlineStr">
        <is>
          <t>פורוורד שקל</t>
        </is>
      </c>
      <c r="D27" s="2" t="inlineStr"/>
      <c r="E27" s="26" t="inlineStr">
        <is>
          <t>4524932.0</t>
        </is>
      </c>
      <c r="F27" s="26" t="inlineStr">
        <is>
          <t>6.0</t>
        </is>
      </c>
      <c r="H27" s="21" t="n">
        <v>83081160</v>
      </c>
      <c r="I27" s="21" t="n">
        <v>83081160</v>
      </c>
      <c r="L27" s="15">
        <f>A26-A27</f>
        <v/>
      </c>
      <c r="N27" s="20">
        <f>IF(AND(L27&gt;0,I27&lt;0),I27/365*L27*$N$3,"")</f>
        <v/>
      </c>
    </row>
    <row r="28">
      <c r="A28" s="29" t="n">
        <v>46009</v>
      </c>
      <c r="B28" s="26" t="inlineStr">
        <is>
          <t>471.0</t>
        </is>
      </c>
      <c r="C28" s="2" t="inlineStr">
        <is>
          <t>ני"ע-קניה</t>
        </is>
      </c>
      <c r="D28" s="2" t="inlineStr"/>
      <c r="E28" s="26" t="inlineStr">
        <is>
          <t>2310225.0</t>
        </is>
      </c>
      <c r="F28" s="26" t="inlineStr">
        <is>
          <t>1115.0</t>
        </is>
      </c>
      <c r="G28" s="21" t="n">
        <v>4810241.18</v>
      </c>
      <c r="L28" s="15">
        <f>A27-A28</f>
        <v/>
      </c>
      <c r="N28" s="20">
        <f>IF(AND(L28&gt;0,I28&lt;0),I28/365*L28*$N$3,"")</f>
        <v/>
      </c>
    </row>
    <row r="29">
      <c r="A29" s="29" t="n">
        <v>46009</v>
      </c>
      <c r="B29" s="26" t="inlineStr">
        <is>
          <t>452.0</t>
        </is>
      </c>
      <c r="C29" s="2" t="inlineStr">
        <is>
          <t>ספוט שקל</t>
        </is>
      </c>
      <c r="D29" s="2" t="inlineStr"/>
      <c r="E29" s="26" t="inlineStr">
        <is>
          <t>4524935.0</t>
        </is>
      </c>
      <c r="F29" s="26" t="inlineStr">
        <is>
          <t>4.0</t>
        </is>
      </c>
      <c r="G29" s="21" t="n">
        <v>579600000</v>
      </c>
      <c r="I29" s="21" t="n">
        <v>4810241.18</v>
      </c>
      <c r="L29" s="15">
        <f>A28-A29</f>
        <v/>
      </c>
      <c r="N29" s="20">
        <f>IF(AND(L29&gt;0,I29&lt;0),I29/365*L29*$N$3,"")</f>
        <v/>
      </c>
    </row>
    <row r="30">
      <c r="A30" s="29" t="n">
        <v>46009</v>
      </c>
      <c r="B30" s="26" t="inlineStr">
        <is>
          <t>452.0</t>
        </is>
      </c>
      <c r="C30" s="2" t="inlineStr">
        <is>
          <t>ספוט שקל</t>
        </is>
      </c>
      <c r="D30" s="2" t="inlineStr"/>
      <c r="E30" s="26" t="inlineStr">
        <is>
          <t>4523585.0</t>
        </is>
      </c>
      <c r="F30" s="26" t="inlineStr">
        <is>
          <t>4.0</t>
        </is>
      </c>
      <c r="G30" s="21" t="n">
        <v>37950000</v>
      </c>
      <c r="I30" s="21" t="n">
        <v>584410241.1799999</v>
      </c>
      <c r="L30" s="15">
        <f>A29-A30</f>
        <v/>
      </c>
      <c r="N30" s="20">
        <f>IF(AND(L30&gt;0,I30&lt;0),I30/365*L30*$N$3,"")</f>
        <v/>
      </c>
    </row>
    <row r="31">
      <c r="A31" s="29" t="n">
        <v>46009</v>
      </c>
      <c r="B31" s="26" t="inlineStr">
        <is>
          <t>142.0</t>
        </is>
      </c>
      <c r="C31" s="2" t="inlineStr">
        <is>
          <t>ספוט שקל</t>
        </is>
      </c>
      <c r="D31" s="2" t="inlineStr"/>
      <c r="E31" s="26" t="inlineStr">
        <is>
          <t>4522726.0</t>
        </is>
      </c>
      <c r="F31" s="26" t="inlineStr">
        <is>
          <t>4.0</t>
        </is>
      </c>
      <c r="H31" s="21" t="n">
        <v>490720.53</v>
      </c>
      <c r="I31" s="21" t="n">
        <v>622360241.1799999</v>
      </c>
      <c r="L31" s="15">
        <f>A30-A31</f>
        <v/>
      </c>
      <c r="N31" s="20">
        <f>IF(AND(L31&gt;0,I31&lt;0),I31/365*L31*$N$3,"")</f>
        <v/>
      </c>
    </row>
    <row r="32">
      <c r="A32" s="29" t="n">
        <v>46009</v>
      </c>
      <c r="B32" s="26" t="inlineStr">
        <is>
          <t>142.0</t>
        </is>
      </c>
      <c r="C32" s="2" t="inlineStr">
        <is>
          <t>פורוורד שקל</t>
        </is>
      </c>
      <c r="D32" s="2" t="inlineStr"/>
      <c r="E32" s="26" t="inlineStr">
        <is>
          <t>4520810.0</t>
        </is>
      </c>
      <c r="F32" s="26" t="inlineStr">
        <is>
          <t>6.0</t>
        </is>
      </c>
      <c r="H32" s="21" t="n">
        <v>576916200</v>
      </c>
      <c r="I32" s="21" t="n">
        <v>621869520.65</v>
      </c>
      <c r="L32" s="15">
        <f>A31-A32</f>
        <v/>
      </c>
      <c r="N32" s="20">
        <f>IF(AND(L32&gt;0,I32&lt;0),I32/365*L32*$N$3,"")</f>
        <v/>
      </c>
    </row>
    <row r="33">
      <c r="A33" s="29" t="n">
        <v>46009</v>
      </c>
      <c r="B33" s="26" t="inlineStr">
        <is>
          <t>142.0</t>
        </is>
      </c>
      <c r="C33" s="2" t="inlineStr">
        <is>
          <t>ספוט שקל</t>
        </is>
      </c>
      <c r="D33" s="2" t="inlineStr"/>
      <c r="E33" s="26" t="inlineStr">
        <is>
          <t>4523582.0</t>
        </is>
      </c>
      <c r="F33" s="26" t="inlineStr">
        <is>
          <t>4.0</t>
        </is>
      </c>
      <c r="H33" s="21" t="n">
        <v>18982500</v>
      </c>
      <c r="I33" s="21" t="n">
        <v>44953320.65</v>
      </c>
      <c r="L33" s="15">
        <f>A32-A33</f>
        <v/>
      </c>
      <c r="N33" s="20">
        <f>IF(AND(L33&gt;0,I33&lt;0),I33/365*L33*$N$3,"")</f>
        <v/>
      </c>
    </row>
    <row r="34">
      <c r="A34" s="29" t="n">
        <v>46009</v>
      </c>
      <c r="B34" s="26" t="inlineStr">
        <is>
          <t>142.0</t>
        </is>
      </c>
      <c r="C34" s="2" t="inlineStr">
        <is>
          <t>ספוט שקל</t>
        </is>
      </c>
      <c r="D34" s="2" t="inlineStr"/>
      <c r="E34" s="26" t="inlineStr">
        <is>
          <t>4523150.0</t>
        </is>
      </c>
      <c r="F34" s="26" t="inlineStr">
        <is>
          <t>4.0</t>
        </is>
      </c>
      <c r="H34" s="21" t="n">
        <v>18950000</v>
      </c>
      <c r="I34" s="21" t="n">
        <v>25970820.65</v>
      </c>
      <c r="L34" s="15">
        <f>A33-A34</f>
        <v/>
      </c>
      <c r="N34" s="20">
        <f>IF(AND(L34&gt;0,I34&lt;0),I34/365*L34*$N$3,"")</f>
        <v/>
      </c>
    </row>
    <row r="35">
      <c r="A35" s="29" t="n">
        <v>46009</v>
      </c>
      <c r="B35" s="26" t="inlineStr">
        <is>
          <t>469.0</t>
        </is>
      </c>
      <c r="C35" s="2" t="inlineStr">
        <is>
          <t>הוראת-קבע</t>
        </is>
      </c>
      <c r="D35" s="2" t="inlineStr"/>
      <c r="E35" s="26" t="inlineStr">
        <is>
          <t>600672577.0</t>
        </is>
      </c>
      <c r="F35" s="26" t="inlineStr">
        <is>
          <t>33333.0</t>
        </is>
      </c>
      <c r="G35" s="21" t="n">
        <v>-7020820.65</v>
      </c>
      <c r="I35" s="21" t="n">
        <v>7020820.65</v>
      </c>
      <c r="L35" s="15">
        <f>A34-A35</f>
        <v/>
      </c>
      <c r="N35" s="20">
        <f>IF(AND(L35&gt;0,I35&lt;0),I35/365*L35*$N$3,"")</f>
        <v/>
      </c>
    </row>
    <row r="36">
      <c r="A36" s="29" t="n">
        <v>46008</v>
      </c>
      <c r="B36" s="26" t="inlineStr">
        <is>
          <t>469.0</t>
        </is>
      </c>
      <c r="C36" s="2" t="inlineStr">
        <is>
          <t>הוראת-קבע</t>
        </is>
      </c>
      <c r="D36" s="2" t="inlineStr"/>
      <c r="E36" s="26" t="inlineStr">
        <is>
          <t>600672577.0</t>
        </is>
      </c>
      <c r="F36" s="26" t="inlineStr">
        <is>
          <t>33333.0</t>
        </is>
      </c>
      <c r="G36" s="21" t="n">
        <v>1649364.44</v>
      </c>
      <c r="L36" s="15">
        <f>A35-A36</f>
        <v/>
      </c>
      <c r="N36" s="20">
        <f>IF(AND(L36&gt;0,I36&lt;0),I36/365*L36*$N$3,"")</f>
        <v/>
      </c>
    </row>
    <row r="37">
      <c r="A37" s="29" t="n">
        <v>46008</v>
      </c>
      <c r="B37" s="26" t="inlineStr">
        <is>
          <t>452.0</t>
        </is>
      </c>
      <c r="C37" s="2" t="inlineStr">
        <is>
          <t>רכישה</t>
        </is>
      </c>
      <c r="D37" s="2" t="inlineStr"/>
      <c r="E37" s="26" t="inlineStr">
        <is>
          <t>4524931.0</t>
        </is>
      </c>
      <c r="F37" s="26" t="inlineStr">
        <is>
          <t>2.0</t>
        </is>
      </c>
      <c r="G37" s="21" t="n">
        <v>83076000</v>
      </c>
      <c r="I37" s="21" t="n">
        <v>1649364.44</v>
      </c>
      <c r="L37" s="15">
        <f>A36-A37</f>
        <v/>
      </c>
      <c r="N37" s="20">
        <f>IF(AND(L37&gt;0,I37&lt;0),I37/365*L37*$N$3,"")</f>
        <v/>
      </c>
    </row>
    <row r="38">
      <c r="A38" s="29" t="n">
        <v>46008</v>
      </c>
      <c r="B38" s="26" t="inlineStr">
        <is>
          <t>142.0</t>
        </is>
      </c>
      <c r="C38" s="2" t="inlineStr">
        <is>
          <t>המרה</t>
        </is>
      </c>
      <c r="D38" s="2" t="inlineStr"/>
      <c r="E38" s="26" t="inlineStr">
        <is>
          <t>4526389.0</t>
        </is>
      </c>
      <c r="F38" s="26" t="inlineStr">
        <is>
          <t>1.0</t>
        </is>
      </c>
      <c r="H38" s="21" t="n">
        <v>1596732.44</v>
      </c>
      <c r="I38" s="21" t="n">
        <v>84725364.44</v>
      </c>
      <c r="L38" s="15">
        <f>A37-A38</f>
        <v/>
      </c>
      <c r="N38" s="20">
        <f>IF(AND(L38&gt;0,I38&lt;0),I38/365*L38*$N$3,"")</f>
        <v/>
      </c>
    </row>
    <row r="39">
      <c r="A39" s="29" t="n">
        <v>46008</v>
      </c>
      <c r="B39" s="26" t="inlineStr">
        <is>
          <t>142.0</t>
        </is>
      </c>
      <c r="C39" s="2" t="inlineStr">
        <is>
          <t>ספוט שקל</t>
        </is>
      </c>
      <c r="D39" s="2" t="inlineStr"/>
      <c r="E39" s="26" t="inlineStr">
        <is>
          <t>4521928.0</t>
        </is>
      </c>
      <c r="F39" s="26" t="inlineStr">
        <is>
          <t>4.0</t>
        </is>
      </c>
      <c r="H39" s="21" t="n">
        <v>83128632</v>
      </c>
      <c r="I39" s="21" t="n">
        <v>83128632</v>
      </c>
      <c r="L39" s="15">
        <f>A38-A39</f>
        <v/>
      </c>
      <c r="N39" s="20">
        <f>IF(AND(L39&gt;0,I39&lt;0),I39/365*L39*$N$3,"")</f>
        <v/>
      </c>
    </row>
    <row r="40">
      <c r="A40" s="29" t="n">
        <v>46007</v>
      </c>
      <c r="B40" s="26" t="inlineStr">
        <is>
          <t>469.0</t>
        </is>
      </c>
      <c r="C40" s="2" t="inlineStr">
        <is>
          <t>הוראת-קבע</t>
        </is>
      </c>
      <c r="D40" s="2" t="inlineStr"/>
      <c r="E40" s="26" t="inlineStr">
        <is>
          <t>600672577.0</t>
        </is>
      </c>
      <c r="F40" s="26" t="inlineStr">
        <is>
          <t>33333.0</t>
        </is>
      </c>
      <c r="G40" s="21" t="n">
        <v>77684049.8</v>
      </c>
      <c r="L40" s="15">
        <f>A39-A40</f>
        <v/>
      </c>
      <c r="N40" s="20">
        <f>IF(AND(L40&gt;0,I40&lt;0),I40/365*L40*$N$3,"")</f>
        <v/>
      </c>
    </row>
    <row r="41">
      <c r="A41" s="29" t="n">
        <v>46007</v>
      </c>
      <c r="B41" s="26" t="inlineStr">
        <is>
          <t>452.0</t>
        </is>
      </c>
      <c r="C41" s="2" t="inlineStr">
        <is>
          <t>החלף מטבע</t>
        </is>
      </c>
      <c r="D41" s="2" t="inlineStr"/>
      <c r="E41" s="26" t="inlineStr">
        <is>
          <t>773736.0</t>
        </is>
      </c>
      <c r="F41" s="26" t="inlineStr">
        <is>
          <t>22.0</t>
        </is>
      </c>
      <c r="G41" s="21" t="n">
        <v>1428517.33</v>
      </c>
      <c r="I41" s="21" t="n">
        <v>77684049.8</v>
      </c>
      <c r="L41" s="15">
        <f>A40-A41</f>
        <v/>
      </c>
      <c r="N41" s="20">
        <f>IF(AND(L41&gt;0,I41&lt;0),I41/365*L41*$N$3,"")</f>
        <v/>
      </c>
    </row>
    <row r="42">
      <c r="A42" s="29" t="n">
        <v>46007</v>
      </c>
      <c r="B42" s="26" t="inlineStr">
        <is>
          <t>452.0</t>
        </is>
      </c>
      <c r="C42" s="2" t="inlineStr">
        <is>
          <t>רכישה</t>
        </is>
      </c>
      <c r="D42" s="2" t="inlineStr"/>
      <c r="E42" s="26" t="inlineStr">
        <is>
          <t>4522725.0</t>
        </is>
      </c>
      <c r="F42" s="26" t="inlineStr">
        <is>
          <t>2.0</t>
        </is>
      </c>
      <c r="G42" s="21" t="n">
        <v>490708.35</v>
      </c>
      <c r="I42" s="21" t="n">
        <v>79112567.13</v>
      </c>
      <c r="L42" s="15">
        <f>A41-A42</f>
        <v/>
      </c>
      <c r="N42" s="20">
        <f>IF(AND(L42&gt;0,I42&lt;0),I42/365*L42*$N$3,"")</f>
        <v/>
      </c>
    </row>
    <row r="43">
      <c r="A43" s="29" t="n">
        <v>46007</v>
      </c>
      <c r="B43" s="26" t="inlineStr">
        <is>
          <t>452.0</t>
        </is>
      </c>
      <c r="C43" s="2" t="inlineStr">
        <is>
          <t>רכישה</t>
        </is>
      </c>
      <c r="D43" s="2" t="inlineStr"/>
      <c r="E43" s="26" t="inlineStr">
        <is>
          <t>4521927.0</t>
        </is>
      </c>
      <c r="F43" s="26" t="inlineStr">
        <is>
          <t>2.0</t>
        </is>
      </c>
      <c r="G43" s="21" t="n">
        <v>83127600</v>
      </c>
      <c r="I43" s="21" t="n">
        <v>79603275.48</v>
      </c>
      <c r="L43" s="15">
        <f>A42-A43</f>
        <v/>
      </c>
      <c r="N43" s="20">
        <f>IF(AND(L43&gt;0,I43&lt;0),I43/365*L43*$N$3,"")</f>
        <v/>
      </c>
    </row>
    <row r="44">
      <c r="A44" s="29" t="n">
        <v>46007</v>
      </c>
      <c r="B44" s="26" t="inlineStr">
        <is>
          <t>452.0</t>
        </is>
      </c>
      <c r="C44" s="2" t="inlineStr">
        <is>
          <t>ספוט שקל</t>
        </is>
      </c>
      <c r="D44" s="2" t="inlineStr"/>
      <c r="E44" s="26" t="inlineStr">
        <is>
          <t>4520809.0</t>
        </is>
      </c>
      <c r="F44" s="26" t="inlineStr">
        <is>
          <t>4.0</t>
        </is>
      </c>
      <c r="G44" s="21" t="n">
        <v>576900000</v>
      </c>
      <c r="I44" s="21" t="n">
        <v>162730875.48</v>
      </c>
      <c r="L44" s="15">
        <f>A43-A44</f>
        <v/>
      </c>
      <c r="N44" s="20">
        <f>IF(AND(L44&gt;0,I44&lt;0),I44/365*L44*$N$3,"")</f>
        <v/>
      </c>
    </row>
    <row r="45">
      <c r="A45" s="29" t="n">
        <v>46007</v>
      </c>
      <c r="B45" s="26" t="inlineStr">
        <is>
          <t>142.0</t>
        </is>
      </c>
      <c r="C45" s="2" t="inlineStr">
        <is>
          <t>ספוט שקל</t>
        </is>
      </c>
      <c r="D45" s="2" t="inlineStr"/>
      <c r="E45" s="26" t="inlineStr">
        <is>
          <t>4516880.0</t>
        </is>
      </c>
      <c r="F45" s="26" t="inlineStr">
        <is>
          <t>4.0</t>
        </is>
      </c>
      <c r="H45" s="21" t="n">
        <v>739630875.48</v>
      </c>
      <c r="I45" s="21" t="n">
        <v>739630875.48</v>
      </c>
      <c r="L45" s="15">
        <f>A44-A45</f>
        <v/>
      </c>
      <c r="N45" s="20">
        <f>IF(AND(L45&gt;0,I45&lt;0),I45/365*L45*$N$3,"")</f>
        <v/>
      </c>
    </row>
    <row r="46">
      <c r="A46" s="29" t="n">
        <v>46006</v>
      </c>
      <c r="B46" s="26" t="inlineStr">
        <is>
          <t>469.0</t>
        </is>
      </c>
      <c r="C46" s="2" t="inlineStr">
        <is>
          <t>הוראת-קבע</t>
        </is>
      </c>
      <c r="D46" s="2" t="inlineStr"/>
      <c r="E46" s="26" t="inlineStr">
        <is>
          <t>600672577.0</t>
        </is>
      </c>
      <c r="F46" s="26" t="inlineStr">
        <is>
          <t>33333.0</t>
        </is>
      </c>
      <c r="G46" s="21" t="n">
        <v>5341127.08</v>
      </c>
      <c r="L46" s="15">
        <f>A45-A46</f>
        <v/>
      </c>
      <c r="N46" s="20">
        <f>IF(AND(L46&gt;0,I46&lt;0),I46/365*L46*$N$3,"")</f>
        <v/>
      </c>
    </row>
    <row r="47">
      <c r="A47" s="29" t="n">
        <v>46006</v>
      </c>
      <c r="B47" s="26" t="inlineStr">
        <is>
          <t>452.0</t>
        </is>
      </c>
      <c r="C47" s="2" t="inlineStr">
        <is>
          <t>ספוט שקל</t>
        </is>
      </c>
      <c r="D47" s="2" t="inlineStr"/>
      <c r="E47" s="26" t="inlineStr">
        <is>
          <t>4516879.0</t>
        </is>
      </c>
      <c r="F47" s="26" t="inlineStr">
        <is>
          <t>4.0</t>
        </is>
      </c>
      <c r="G47" s="21" t="n">
        <v>739623948</v>
      </c>
      <c r="I47" s="21" t="n">
        <v>5341127.08</v>
      </c>
      <c r="L47" s="15">
        <f>A46-A47</f>
        <v/>
      </c>
      <c r="N47" s="20">
        <f>IF(AND(L47&gt;0,I47&lt;0),I47/365*L47*$N$3,"")</f>
        <v/>
      </c>
    </row>
    <row r="48">
      <c r="A48" s="29" t="n">
        <v>46006</v>
      </c>
      <c r="B48" s="26" t="inlineStr">
        <is>
          <t>142.0</t>
        </is>
      </c>
      <c r="C48" s="2" t="inlineStr">
        <is>
          <t>ספוט שקל</t>
        </is>
      </c>
      <c r="D48" s="2" t="inlineStr"/>
      <c r="E48" s="26" t="inlineStr">
        <is>
          <t>4513366.0</t>
        </is>
      </c>
      <c r="F48" s="26" t="inlineStr">
        <is>
          <t>4.0</t>
        </is>
      </c>
      <c r="H48" s="21" t="n">
        <v>742384131.08</v>
      </c>
      <c r="I48" s="21" t="n">
        <v>744965075.08</v>
      </c>
      <c r="L48" s="15">
        <f>A47-A48</f>
        <v/>
      </c>
      <c r="N48" s="20">
        <f>IF(AND(L48&gt;0,I48&lt;0),I48/365*L48*$N$3,"")</f>
        <v/>
      </c>
    </row>
    <row r="49">
      <c r="A49" s="29" t="n">
        <v>46006</v>
      </c>
      <c r="B49" s="26" t="inlineStr">
        <is>
          <t>142.0</t>
        </is>
      </c>
      <c r="C49" s="2" t="inlineStr">
        <is>
          <t>ספוט שקל</t>
        </is>
      </c>
      <c r="D49" s="2" t="inlineStr"/>
      <c r="E49" s="26" t="inlineStr">
        <is>
          <t>4513363.0</t>
        </is>
      </c>
      <c r="F49" s="26" t="inlineStr">
        <is>
          <t>4.0</t>
        </is>
      </c>
      <c r="H49" s="21" t="n">
        <v>2580944</v>
      </c>
      <c r="I49" s="21" t="n">
        <v>2580944</v>
      </c>
      <c r="L49" s="15">
        <f>A48-A49</f>
        <v/>
      </c>
      <c r="N49" s="20">
        <f>IF(AND(L49&gt;0,I49&lt;0),I49/365*L49*$N$3,"")</f>
        <v/>
      </c>
    </row>
    <row r="50">
      <c r="A50" s="29" t="n">
        <v>46005</v>
      </c>
      <c r="B50" s="26" t="inlineStr">
        <is>
          <t>469.0</t>
        </is>
      </c>
      <c r="C50" s="2" t="inlineStr">
        <is>
          <t>הוראת-קבע</t>
        </is>
      </c>
      <c r="D50" s="2" t="inlineStr"/>
      <c r="E50" s="26" t="inlineStr">
        <is>
          <t>600672577.0</t>
        </is>
      </c>
      <c r="F50" s="26" t="inlineStr">
        <is>
          <t>33333.0</t>
        </is>
      </c>
      <c r="G50" s="21" t="n">
        <v>-46974581.71</v>
      </c>
      <c r="L50" s="15">
        <f>A49-A50</f>
        <v/>
      </c>
      <c r="N50" s="20">
        <f>IF(AND(L50&gt;0,I50&lt;0),I50/365*L50*$N$3,"")</f>
        <v/>
      </c>
    </row>
    <row r="51">
      <c r="A51" s="29" t="n">
        <v>46005</v>
      </c>
      <c r="B51" s="26" t="inlineStr">
        <is>
          <t>302.0</t>
        </is>
      </c>
      <c r="C51" s="2" t="inlineStr">
        <is>
          <t>העברה לעצמי (תאריך ערך: 28/11)</t>
        </is>
      </c>
      <c r="D51" s="2" t="inlineStr"/>
      <c r="E51" s="26" t="inlineStr">
        <is>
          <t>34800244.0</t>
        </is>
      </c>
      <c r="F51" s="26" t="inlineStr">
        <is>
          <t>32.0</t>
        </is>
      </c>
      <c r="G51" s="21" t="n">
        <v>199622400</v>
      </c>
      <c r="I51" s="21" t="n">
        <v>-46974581.71</v>
      </c>
      <c r="L51" s="15">
        <f>A50-A51</f>
        <v/>
      </c>
      <c r="N51" s="20">
        <f>IF(AND(L51&gt;0,I51&lt;0),I51/365*L51*$N$3,"")</f>
        <v/>
      </c>
    </row>
    <row r="52">
      <c r="A52" s="29" t="n">
        <v>46005</v>
      </c>
      <c r="B52" s="26" t="inlineStr">
        <is>
          <t>256.0</t>
        </is>
      </c>
      <c r="C52" s="2" t="inlineStr">
        <is>
          <t>העברה (תאריך ערך: 11/12)</t>
        </is>
      </c>
      <c r="D52" s="2" t="inlineStr"/>
      <c r="E52" s="26" t="inlineStr">
        <is>
          <t>34800380.0</t>
        </is>
      </c>
      <c r="F52" s="26" t="inlineStr">
        <is>
          <t>32.0</t>
        </is>
      </c>
      <c r="H52" s="21" t="n">
        <v>152647818.29</v>
      </c>
      <c r="I52" s="21" t="n">
        <v>152647818.29</v>
      </c>
      <c r="L52" s="15">
        <f>A51-A52</f>
        <v/>
      </c>
      <c r="N52" s="20">
        <f>IF(AND(L52&gt;0,I52&lt;0),I52/365*L52*$N$3,"")</f>
        <v/>
      </c>
    </row>
    <row r="53">
      <c r="A53" s="29" t="n">
        <v>46003</v>
      </c>
      <c r="B53" s="26" t="inlineStr">
        <is>
          <t>452.0</t>
        </is>
      </c>
      <c r="C53" s="2" t="inlineStr">
        <is>
          <t>ספוט שקל</t>
        </is>
      </c>
      <c r="D53" s="2" t="inlineStr"/>
      <c r="E53" s="26" t="inlineStr">
        <is>
          <t>4513365.0</t>
        </is>
      </c>
      <c r="F53" s="26" t="inlineStr">
        <is>
          <t>4.0</t>
        </is>
      </c>
      <c r="G53" s="21" t="n">
        <v>742354216</v>
      </c>
      <c r="L53" s="15">
        <f>A52-A53</f>
        <v/>
      </c>
      <c r="N53" s="20">
        <f>IF(AND(L53&gt;0,I53&lt;0),I53/365*L53*$N$3,"")</f>
        <v/>
      </c>
    </row>
    <row r="54">
      <c r="A54" s="29" t="n">
        <v>46003</v>
      </c>
      <c r="B54" s="26" t="inlineStr">
        <is>
          <t>142.0</t>
        </is>
      </c>
      <c r="C54" s="2" t="inlineStr">
        <is>
          <t>ספוט שקל</t>
        </is>
      </c>
      <c r="D54" s="2" t="inlineStr"/>
      <c r="E54" s="26" t="inlineStr">
        <is>
          <t>4509552.0</t>
        </is>
      </c>
      <c r="F54" s="26" t="inlineStr">
        <is>
          <t>4.0</t>
        </is>
      </c>
      <c r="H54" s="21" t="n">
        <v>741447558.96</v>
      </c>
      <c r="I54" s="21" t="n">
        <v>742354216</v>
      </c>
      <c r="L54" s="15">
        <f>A53-A54</f>
        <v/>
      </c>
      <c r="N54" s="20">
        <f>IF(AND(L54&gt;0,I54&lt;0),I54/365*L54*$N$3,"")</f>
        <v/>
      </c>
    </row>
    <row r="55">
      <c r="A55" s="29" t="n">
        <v>46003</v>
      </c>
      <c r="B55" s="26" t="inlineStr">
        <is>
          <t>469.0</t>
        </is>
      </c>
      <c r="C55" s="2" t="inlineStr">
        <is>
          <t>הוראת-קבע</t>
        </is>
      </c>
      <c r="D55" s="2" t="inlineStr"/>
      <c r="E55" s="26" t="inlineStr">
        <is>
          <t>600672577.0</t>
        </is>
      </c>
      <c r="F55" s="26" t="inlineStr">
        <is>
          <t>33333.0</t>
        </is>
      </c>
      <c r="G55" s="21" t="n">
        <v>-906657.04</v>
      </c>
      <c r="I55" s="21" t="n">
        <v>906657.04</v>
      </c>
      <c r="L55" s="15">
        <f>A54-A55</f>
        <v/>
      </c>
      <c r="N55" s="20">
        <f>IF(AND(L55&gt;0,I55&lt;0),I55/365*L55*$N$3,"")</f>
        <v/>
      </c>
    </row>
    <row r="56">
      <c r="A56" s="29" t="n">
        <v>46002</v>
      </c>
      <c r="B56" s="26" t="inlineStr">
        <is>
          <t>469.0</t>
        </is>
      </c>
      <c r="C56" s="2" t="inlineStr">
        <is>
          <t>הוראת-קבע</t>
        </is>
      </c>
      <c r="D56" s="2" t="inlineStr"/>
      <c r="E56" s="26" t="inlineStr">
        <is>
          <t>600672577.0</t>
        </is>
      </c>
      <c r="F56" s="26" t="inlineStr">
        <is>
          <t>33333.0</t>
        </is>
      </c>
      <c r="G56" s="21" t="n">
        <v>152647818.29</v>
      </c>
      <c r="L56" s="15">
        <f>A55-A56</f>
        <v/>
      </c>
      <c r="N56" s="20">
        <f>IF(AND(L56&gt;0,I56&lt;0),I56/365*L56*$N$3,"")</f>
        <v/>
      </c>
    </row>
    <row r="57">
      <c r="A57" s="29" t="n">
        <v>46002</v>
      </c>
      <c r="B57" s="26" t="inlineStr">
        <is>
          <t>452.0</t>
        </is>
      </c>
      <c r="C57" s="2" t="inlineStr">
        <is>
          <t>רכישה</t>
        </is>
      </c>
      <c r="D57" s="2" t="inlineStr"/>
      <c r="E57" s="26" t="inlineStr">
        <is>
          <t>4513362.0</t>
        </is>
      </c>
      <c r="F57" s="26" t="inlineStr">
        <is>
          <t>2.0</t>
        </is>
      </c>
      <c r="G57" s="21" t="n">
        <v>2580800</v>
      </c>
      <c r="I57" s="21" t="n">
        <v>152647818.29</v>
      </c>
      <c r="L57" s="15">
        <f>A56-A57</f>
        <v/>
      </c>
      <c r="N57" s="20">
        <f>IF(AND(L57&gt;0,I57&lt;0),I57/365*L57*$N$3,"")</f>
        <v/>
      </c>
    </row>
    <row r="58">
      <c r="A58" s="29" t="n">
        <v>46002</v>
      </c>
      <c r="B58" s="26" t="inlineStr">
        <is>
          <t>126.0</t>
        </is>
      </c>
      <c r="C58" s="2" t="inlineStr">
        <is>
          <t>החלף מטבע (תאריך ערך: 28/11)</t>
        </is>
      </c>
      <c r="D58" s="2" t="inlineStr"/>
      <c r="E58" s="26" t="inlineStr">
        <is>
          <t>922413.0</t>
        </is>
      </c>
      <c r="F58" s="26" t="inlineStr">
        <is>
          <t>22.0</t>
        </is>
      </c>
      <c r="H58" s="21" t="n">
        <v>199622400</v>
      </c>
      <c r="I58" s="21" t="n">
        <v>155228618.29</v>
      </c>
      <c r="L58" s="15">
        <f>A57-A58</f>
        <v/>
      </c>
      <c r="N58" s="20">
        <f>IF(AND(L58&gt;0,I58&lt;0),I58/365*L58*$N$3,"")</f>
        <v/>
      </c>
    </row>
    <row r="59">
      <c r="A59" s="29" t="n">
        <v>46001</v>
      </c>
      <c r="B59" s="26" t="inlineStr">
        <is>
          <t>452.0</t>
        </is>
      </c>
      <c r="C59" s="2" t="inlineStr">
        <is>
          <t>רכישה</t>
        </is>
      </c>
      <c r="D59" s="2" t="inlineStr"/>
      <c r="E59" s="26" t="inlineStr">
        <is>
          <t>4509551.0</t>
        </is>
      </c>
      <c r="F59" s="26" t="inlineStr">
        <is>
          <t>2.0</t>
        </is>
      </c>
      <c r="G59" s="21" t="n">
        <v>741433752</v>
      </c>
      <c r="I59" s="21" t="n">
        <v>-44393781.71</v>
      </c>
      <c r="L59" s="15">
        <f>A58-A59</f>
        <v/>
      </c>
      <c r="N59" s="20">
        <f>IF(AND(L59&gt;0,I59&lt;0),I59/365*L59*$N$3,"")</f>
        <v/>
      </c>
    </row>
    <row r="60">
      <c r="A60" s="29" t="n">
        <v>46001</v>
      </c>
      <c r="B60" s="26" t="inlineStr">
        <is>
          <t>142.0</t>
        </is>
      </c>
      <c r="C60" s="2" t="inlineStr">
        <is>
          <t>ספוט שקל</t>
        </is>
      </c>
      <c r="D60" s="2" t="inlineStr"/>
      <c r="E60" s="26" t="inlineStr">
        <is>
          <t>4506160.0</t>
        </is>
      </c>
      <c r="F60" s="26" t="inlineStr">
        <is>
          <t>4.0</t>
        </is>
      </c>
      <c r="H60" s="21" t="n">
        <v>899467461.04</v>
      </c>
      <c r="I60" s="21" t="n">
        <v>697039970.29</v>
      </c>
      <c r="L60" s="15">
        <f>A59-A60</f>
        <v/>
      </c>
      <c r="N60" s="20">
        <f>IF(AND(L60&gt;0,I60&lt;0),I60/365*L60*$N$3,"")</f>
        <v/>
      </c>
    </row>
    <row r="61">
      <c r="A61" s="29" t="n">
        <v>46000</v>
      </c>
      <c r="B61" s="26" t="inlineStr">
        <is>
          <t>452.0</t>
        </is>
      </c>
      <c r="C61" s="2" t="inlineStr">
        <is>
          <t>רכישה</t>
        </is>
      </c>
      <c r="D61" s="2" t="inlineStr"/>
      <c r="E61" s="26" t="inlineStr">
        <is>
          <t>4506159.0</t>
        </is>
      </c>
      <c r="F61" s="26" t="inlineStr">
        <is>
          <t>2.0</t>
        </is>
      </c>
      <c r="G61" s="21" t="n">
        <v>899459071.87</v>
      </c>
      <c r="I61" s="21" t="n">
        <v>-202427490.75</v>
      </c>
      <c r="L61" s="15">
        <f>A60-A61</f>
        <v/>
      </c>
      <c r="N61" s="20">
        <f>IF(AND(L61&gt;0,I61&lt;0),I61/365*L61*$N$3,"")</f>
        <v/>
      </c>
    </row>
    <row r="62">
      <c r="A62" s="29" t="n">
        <v>46000</v>
      </c>
      <c r="B62" s="26" t="inlineStr">
        <is>
          <t>142.0</t>
        </is>
      </c>
      <c r="C62" s="2" t="inlineStr">
        <is>
          <t>ספוט שקל</t>
        </is>
      </c>
      <c r="D62" s="2" t="inlineStr"/>
      <c r="E62" s="26" t="inlineStr">
        <is>
          <t>4502547.0</t>
        </is>
      </c>
      <c r="F62" s="26" t="inlineStr">
        <is>
          <t>4.0</t>
        </is>
      </c>
      <c r="H62" s="21" t="n">
        <v>900695930.99</v>
      </c>
      <c r="I62" s="21" t="n">
        <v>697031581.12</v>
      </c>
      <c r="L62" s="15">
        <f>A61-A62</f>
        <v/>
      </c>
      <c r="N62" s="20">
        <f>IF(AND(L62&gt;0,I62&lt;0),I62/365*L62*$N$3,"")</f>
        <v/>
      </c>
    </row>
    <row r="63">
      <c r="A63" s="29" t="n">
        <v>45999</v>
      </c>
      <c r="B63" s="26" t="inlineStr">
        <is>
          <t>452.0</t>
        </is>
      </c>
      <c r="C63" s="2" t="inlineStr">
        <is>
          <t>החלף מטבע</t>
        </is>
      </c>
      <c r="D63" s="2" t="inlineStr"/>
      <c r="E63" s="26" t="inlineStr">
        <is>
          <t>840632.0</t>
        </is>
      </c>
      <c r="F63" s="26" t="inlineStr">
        <is>
          <t>20.0</t>
        </is>
      </c>
      <c r="G63" s="21" t="n">
        <v>456658.03</v>
      </c>
      <c r="I63" s="21" t="n">
        <v>-203664349.87</v>
      </c>
      <c r="L63" s="15">
        <f>A62-A63</f>
        <v/>
      </c>
      <c r="N63" s="20">
        <f>IF(AND(L63&gt;0,I63&lt;0),I63/365*L63*$N$3,"")</f>
        <v/>
      </c>
    </row>
    <row r="64">
      <c r="A64" s="29" t="n">
        <v>45999</v>
      </c>
      <c r="B64" s="26" t="inlineStr">
        <is>
          <t>452.0</t>
        </is>
      </c>
      <c r="C64" s="2" t="inlineStr">
        <is>
          <t>רכישה</t>
        </is>
      </c>
      <c r="D64" s="2" t="inlineStr"/>
      <c r="E64" s="26" t="inlineStr">
        <is>
          <t>4502546.0</t>
        </is>
      </c>
      <c r="F64" s="26" t="inlineStr">
        <is>
          <t>2.0</t>
        </is>
      </c>
      <c r="G64" s="21" t="n">
        <v>900691741.73</v>
      </c>
      <c r="I64" s="21" t="n">
        <v>-203207691.84</v>
      </c>
      <c r="L64" s="15">
        <f>A63-A64</f>
        <v/>
      </c>
      <c r="N64" s="20">
        <f>IF(AND(L64&gt;0,I64&lt;0),I64/365*L64*$N$3,"")</f>
        <v/>
      </c>
    </row>
    <row r="65">
      <c r="A65" s="29" t="n">
        <v>45999</v>
      </c>
      <c r="B65" s="26" t="inlineStr">
        <is>
          <t>142.0</t>
        </is>
      </c>
      <c r="C65" s="2" t="inlineStr">
        <is>
          <t>ספוט שקל</t>
        </is>
      </c>
      <c r="D65" s="2" t="inlineStr"/>
      <c r="E65" s="26" t="inlineStr">
        <is>
          <t>4500484.0</t>
        </is>
      </c>
      <c r="F65" s="26" t="inlineStr">
        <is>
          <t>4.0</t>
        </is>
      </c>
      <c r="H65" s="21" t="n">
        <v>804272490</v>
      </c>
      <c r="I65" s="21" t="n">
        <v>697484049.89</v>
      </c>
      <c r="L65" s="15">
        <f>A64-A65</f>
        <v/>
      </c>
      <c r="N65" s="20">
        <f>IF(AND(L65&gt;0,I65&lt;0),I65/365*L65*$N$3,"")</f>
        <v/>
      </c>
    </row>
    <row r="66">
      <c r="A66" s="29" t="n">
        <v>45996</v>
      </c>
      <c r="B66" s="26" t="inlineStr">
        <is>
          <t>471.0</t>
        </is>
      </c>
      <c r="C66" s="2" t="inlineStr">
        <is>
          <t>ני"ע-קניה</t>
        </is>
      </c>
      <c r="D66" s="2" t="inlineStr"/>
      <c r="E66" s="26" t="inlineStr">
        <is>
          <t>2310282.0</t>
        </is>
      </c>
      <c r="F66" s="26" t="inlineStr">
        <is>
          <t>1107.0</t>
        </is>
      </c>
      <c r="G66" s="21" t="n">
        <v>10366107.77</v>
      </c>
      <c r="I66" s="21" t="n">
        <v>-106788440.11</v>
      </c>
      <c r="L66" s="15">
        <f>A65-A66</f>
        <v/>
      </c>
      <c r="N66" s="20">
        <f>IF(AND(L66&gt;0,I66&lt;0),I66/365*L66*$N$3,"")</f>
        <v/>
      </c>
    </row>
    <row r="67">
      <c r="A67" s="29" t="n">
        <v>45996</v>
      </c>
      <c r="B67" s="26" t="inlineStr">
        <is>
          <t>452.0</t>
        </is>
      </c>
      <c r="C67" s="2" t="inlineStr">
        <is>
          <t>רכישה</t>
        </is>
      </c>
      <c r="D67" s="2" t="inlineStr"/>
      <c r="E67" s="26" t="inlineStr">
        <is>
          <t>4500483.0</t>
        </is>
      </c>
      <c r="F67" s="26" t="inlineStr">
        <is>
          <t>2.0</t>
        </is>
      </c>
      <c r="G67" s="21" t="n">
        <v>804270000</v>
      </c>
      <c r="I67" s="21" t="n">
        <v>-96422332.34</v>
      </c>
      <c r="L67" s="15">
        <f>A66-A67</f>
        <v/>
      </c>
      <c r="N67" s="20">
        <f>IF(AND(L67&gt;0,I67&lt;0),I67/365*L67*$N$3,"")</f>
        <v/>
      </c>
    </row>
    <row r="68">
      <c r="A68" s="29" t="n">
        <v>45996</v>
      </c>
      <c r="B68" s="26" t="inlineStr">
        <is>
          <t>142.0</t>
        </is>
      </c>
      <c r="C68" s="2" t="inlineStr">
        <is>
          <t>החלף ריבית</t>
        </is>
      </c>
      <c r="D68" s="2" t="inlineStr"/>
      <c r="E68" s="26" t="inlineStr">
        <is>
          <t>742502.0</t>
        </is>
      </c>
      <c r="F68" s="26" t="inlineStr">
        <is>
          <t>20.0</t>
        </is>
      </c>
      <c r="H68" s="21" t="n">
        <v>673014.5600000001</v>
      </c>
      <c r="I68" s="21" t="n">
        <v>707847667.66</v>
      </c>
      <c r="L68" s="15">
        <f>A67-A68</f>
        <v/>
      </c>
      <c r="N68" s="20">
        <f>IF(AND(L68&gt;0,I68&lt;0),I68/365*L68*$N$3,"")</f>
        <v/>
      </c>
    </row>
    <row r="69">
      <c r="A69" s="29" t="n">
        <v>45996</v>
      </c>
      <c r="B69" s="26" t="inlineStr">
        <is>
          <t>142.0</t>
        </is>
      </c>
      <c r="C69" s="2" t="inlineStr">
        <is>
          <t>ספוט שקל</t>
        </is>
      </c>
      <c r="D69" s="2" t="inlineStr"/>
      <c r="E69" s="26" t="inlineStr">
        <is>
          <t>4498154.0</t>
        </is>
      </c>
      <c r="F69" s="26" t="inlineStr">
        <is>
          <t>4.0</t>
        </is>
      </c>
      <c r="H69" s="21" t="n">
        <v>743099873.26</v>
      </c>
      <c r="I69" s="21" t="n">
        <v>707174653.1</v>
      </c>
      <c r="L69" s="15">
        <f>A68-A69</f>
        <v/>
      </c>
      <c r="N69" s="20">
        <f>IF(AND(L69&gt;0,I69&lt;0),I69/365*L69*$N$3,"")</f>
        <v/>
      </c>
    </row>
    <row r="70">
      <c r="A70" s="29" t="n">
        <v>45995</v>
      </c>
      <c r="B70" s="26" t="inlineStr">
        <is>
          <t>452.0</t>
        </is>
      </c>
      <c r="C70" s="2" t="inlineStr">
        <is>
          <t>רכישה</t>
        </is>
      </c>
      <c r="D70" s="2" t="inlineStr"/>
      <c r="E70" s="26" t="inlineStr">
        <is>
          <t>4498153.0</t>
        </is>
      </c>
      <c r="F70" s="26" t="inlineStr">
        <is>
          <t>2.0</t>
        </is>
      </c>
      <c r="G70" s="21" t="n">
        <v>743097578.6900001</v>
      </c>
      <c r="I70" s="21" t="n">
        <v>-35925220.16</v>
      </c>
      <c r="L70" s="15">
        <f>A69-A70</f>
        <v/>
      </c>
      <c r="N70" s="20">
        <f>IF(AND(L70&gt;0,I70&lt;0),I70/365*L70*$N$3,"")</f>
        <v/>
      </c>
    </row>
    <row r="71">
      <c r="A71" s="29" t="n">
        <v>45995</v>
      </c>
      <c r="B71" s="26" t="inlineStr">
        <is>
          <t>452.0</t>
        </is>
      </c>
      <c r="C71" s="2" t="inlineStr">
        <is>
          <t>ע' העברת מט"ח</t>
        </is>
      </c>
      <c r="D71" s="2" t="inlineStr"/>
      <c r="E71" s="26" t="inlineStr">
        <is>
          <t>213172.0</t>
        </is>
      </c>
      <c r="F71" s="26" t="inlineStr">
        <is>
          <t>79403.0</t>
        </is>
      </c>
      <c r="G71" s="21" t="n">
        <v>59.09</v>
      </c>
      <c r="I71" s="21" t="n">
        <v>707172358.53</v>
      </c>
      <c r="L71" s="15">
        <f>A70-A71</f>
        <v/>
      </c>
      <c r="N71" s="20">
        <f>IF(AND(L71&gt;0,I71&lt;0),I71/365*L71*$N$3,"")</f>
        <v/>
      </c>
    </row>
    <row r="72">
      <c r="A72" s="29" t="n">
        <v>45995</v>
      </c>
      <c r="B72" s="26" t="inlineStr">
        <is>
          <t>142.0</t>
        </is>
      </c>
      <c r="C72" s="2" t="inlineStr">
        <is>
          <t>ספוט שקל</t>
        </is>
      </c>
      <c r="D72" s="2" t="inlineStr"/>
      <c r="E72" s="26" t="inlineStr">
        <is>
          <t>4494416.0</t>
        </is>
      </c>
      <c r="F72" s="26" t="inlineStr">
        <is>
          <t>4.0</t>
        </is>
      </c>
      <c r="H72" s="21" t="n">
        <v>746904464.41</v>
      </c>
      <c r="I72" s="21" t="n">
        <v>707172417.62</v>
      </c>
      <c r="L72" s="15">
        <f>A71-A72</f>
        <v/>
      </c>
      <c r="N72" s="20">
        <f>IF(AND(L72&gt;0,I72&lt;0),I72/365*L72*$N$3,"")</f>
        <v/>
      </c>
    </row>
    <row r="73">
      <c r="A73" s="29" t="n">
        <v>45994</v>
      </c>
      <c r="B73" s="26" t="inlineStr">
        <is>
          <t>452.0</t>
        </is>
      </c>
      <c r="C73" s="2" t="inlineStr">
        <is>
          <t>החלף ריבית</t>
        </is>
      </c>
      <c r="D73" s="2" t="inlineStr"/>
      <c r="E73" s="26" t="inlineStr">
        <is>
          <t>741616.0</t>
        </is>
      </c>
      <c r="F73" s="26" t="inlineStr">
        <is>
          <t>20.0</t>
        </is>
      </c>
      <c r="G73" s="21" t="n">
        <v>168461.57</v>
      </c>
      <c r="I73" s="21" t="n">
        <v>-39732046.79</v>
      </c>
      <c r="L73" s="15">
        <f>A72-A73</f>
        <v/>
      </c>
      <c r="N73" s="20">
        <f>IF(AND(L73&gt;0,I73&lt;0),I73/365*L73*$N$3,"")</f>
        <v/>
      </c>
    </row>
    <row r="74">
      <c r="A74" s="29" t="n">
        <v>45994</v>
      </c>
      <c r="B74" s="26" t="inlineStr">
        <is>
          <t>452.0</t>
        </is>
      </c>
      <c r="C74" s="2" t="inlineStr">
        <is>
          <t>רכישה</t>
        </is>
      </c>
      <c r="D74" s="2" t="inlineStr"/>
      <c r="E74" s="26" t="inlineStr">
        <is>
          <t>4494415.0</t>
        </is>
      </c>
      <c r="F74" s="26" t="inlineStr">
        <is>
          <t>2.0</t>
        </is>
      </c>
      <c r="G74" s="21" t="n">
        <v>746902162.71</v>
      </c>
      <c r="I74" s="21" t="n">
        <v>-39563585.22</v>
      </c>
      <c r="L74" s="15">
        <f>A73-A74</f>
        <v/>
      </c>
      <c r="N74" s="20">
        <f>IF(AND(L74&gt;0,I74&lt;0),I74/365*L74*$N$3,"")</f>
        <v/>
      </c>
    </row>
    <row r="75">
      <c r="A75" s="29" t="n">
        <v>45994</v>
      </c>
      <c r="B75" s="26" t="inlineStr">
        <is>
          <t>142.0</t>
        </is>
      </c>
      <c r="C75" s="2" t="inlineStr">
        <is>
          <t>החלף ריבית</t>
        </is>
      </c>
      <c r="D75" s="2" t="inlineStr"/>
      <c r="E75" s="26" t="inlineStr">
        <is>
          <t>741868.0</t>
        </is>
      </c>
      <c r="F75" s="26" t="inlineStr">
        <is>
          <t>20.0</t>
        </is>
      </c>
      <c r="H75" s="21" t="n">
        <v>168461.57</v>
      </c>
      <c r="I75" s="21" t="n">
        <v>707338577.49</v>
      </c>
      <c r="L75" s="15">
        <f>A74-A75</f>
        <v/>
      </c>
      <c r="N75" s="20">
        <f>IF(AND(L75&gt;0,I75&lt;0),I75/365*L75*$N$3,"")</f>
        <v/>
      </c>
    </row>
    <row r="76">
      <c r="A76" s="29" t="n">
        <v>45994</v>
      </c>
      <c r="B76" s="26" t="inlineStr">
        <is>
          <t>142.0</t>
        </is>
      </c>
      <c r="C76" s="2" t="inlineStr">
        <is>
          <t>ספוט שקל</t>
        </is>
      </c>
      <c r="D76" s="2" t="inlineStr"/>
      <c r="E76" s="26" t="inlineStr">
        <is>
          <t>4491023.0</t>
        </is>
      </c>
      <c r="F76" s="26" t="inlineStr">
        <is>
          <t>4.0</t>
        </is>
      </c>
      <c r="H76" s="21" t="n">
        <v>749828765.16</v>
      </c>
      <c r="I76" s="21" t="n">
        <v>707170115.92</v>
      </c>
      <c r="L76" s="15">
        <f>A75-A76</f>
        <v/>
      </c>
      <c r="N76" s="20">
        <f>IF(AND(L76&gt;0,I76&lt;0),I76/365*L76*$N$3,"")</f>
        <v/>
      </c>
    </row>
    <row r="77">
      <c r="A77" s="29" t="n">
        <v>45993</v>
      </c>
      <c r="B77" s="26" t="inlineStr">
        <is>
          <t>452.0</t>
        </is>
      </c>
      <c r="C77" s="2" t="inlineStr">
        <is>
          <t>רכישה</t>
        </is>
      </c>
      <c r="D77" s="2" t="inlineStr"/>
      <c r="E77" s="26" t="inlineStr">
        <is>
          <t>4491022.0</t>
        </is>
      </c>
      <c r="F77" s="26" t="inlineStr">
        <is>
          <t>2.0</t>
        </is>
      </c>
      <c r="G77" s="21" t="n">
        <v>749828765.16</v>
      </c>
      <c r="I77" s="21" t="n">
        <v>-42658649.24</v>
      </c>
      <c r="L77" s="15">
        <f>A76-A77</f>
        <v/>
      </c>
      <c r="N77" s="20">
        <f>IF(AND(L77&gt;0,I77&lt;0),I77/365*L77*$N$3,"")</f>
        <v/>
      </c>
    </row>
    <row r="78">
      <c r="A78" s="29" t="n">
        <v>45993</v>
      </c>
      <c r="B78" s="26" t="inlineStr">
        <is>
          <t>142.0</t>
        </is>
      </c>
      <c r="C78" s="2" t="inlineStr">
        <is>
          <t>ספוט שקל</t>
        </is>
      </c>
      <c r="D78" s="2" t="inlineStr"/>
      <c r="E78" s="26" t="inlineStr">
        <is>
          <t>4487702.0</t>
        </is>
      </c>
      <c r="F78" s="26" t="inlineStr">
        <is>
          <t>4.0</t>
        </is>
      </c>
      <c r="H78" s="21" t="n">
        <v>552557060.9400001</v>
      </c>
      <c r="I78" s="21" t="n">
        <v>707170115.92</v>
      </c>
      <c r="L78" s="15">
        <f>A77-A78</f>
        <v/>
      </c>
      <c r="N78" s="20">
        <f>IF(AND(L78&gt;0,I78&lt;0),I78/365*L78*$N$3,"")</f>
        <v/>
      </c>
    </row>
    <row r="79">
      <c r="A79" s="29" t="n">
        <v>45993</v>
      </c>
      <c r="B79" s="26" t="inlineStr">
        <is>
          <t>469.0</t>
        </is>
      </c>
      <c r="C79" s="2" t="inlineStr">
        <is>
          <t>הוראת-קבע</t>
        </is>
      </c>
      <c r="D79" s="2" t="inlineStr"/>
      <c r="E79" s="26" t="inlineStr">
        <is>
          <t>600672577.0</t>
        </is>
      </c>
      <c r="F79" s="26" t="inlineStr">
        <is>
          <t>33333.0</t>
        </is>
      </c>
      <c r="G79" s="21" t="n">
        <v>-173297405.11</v>
      </c>
      <c r="I79" s="21" t="n">
        <v>154613054.98</v>
      </c>
      <c r="L79" s="15">
        <f>A78-A79</f>
        <v/>
      </c>
      <c r="N79" s="20">
        <f>IF(AND(L79&gt;0,I79&lt;0),I79/365*L79*$N$3,"")</f>
        <v/>
      </c>
    </row>
    <row r="80">
      <c r="A80" s="29" t="n">
        <v>45992</v>
      </c>
      <c r="B80" s="26" t="inlineStr">
        <is>
          <t>452.0</t>
        </is>
      </c>
      <c r="C80" s="2" t="inlineStr">
        <is>
          <t>רכישה</t>
        </is>
      </c>
      <c r="D80" s="2" t="inlineStr"/>
      <c r="E80" s="26" t="inlineStr">
        <is>
          <t>4487701.0</t>
        </is>
      </c>
      <c r="F80" s="26" t="inlineStr">
        <is>
          <t>2.0</t>
        </is>
      </c>
      <c r="G80" s="21" t="n">
        <v>552557060.9400001</v>
      </c>
      <c r="I80" s="21" t="n">
        <v>-18684350.13</v>
      </c>
      <c r="L80" s="15">
        <f>A79-A80</f>
        <v/>
      </c>
      <c r="N80" s="20">
        <f>IF(AND(L80&gt;0,I80&lt;0),I80/365*L80*$N$3,"")</f>
        <v/>
      </c>
    </row>
    <row r="81">
      <c r="A81" s="29" t="n">
        <v>45992</v>
      </c>
      <c r="B81" s="26" t="inlineStr">
        <is>
          <t>452.0</t>
        </is>
      </c>
      <c r="C81" s="2" t="inlineStr">
        <is>
          <t>ספוט שקל</t>
        </is>
      </c>
      <c r="D81" s="2" t="inlineStr"/>
      <c r="E81" s="26" t="inlineStr">
        <is>
          <t>4485120.0</t>
        </is>
      </c>
      <c r="F81" s="26" t="inlineStr">
        <is>
          <t>4.0</t>
        </is>
      </c>
      <c r="G81" s="21" t="n">
        <v>32665000</v>
      </c>
      <c r="I81" s="21" t="n">
        <v>533872710.81</v>
      </c>
      <c r="L81" s="15">
        <f>A80-A81</f>
        <v/>
      </c>
      <c r="N81" s="20">
        <f>IF(AND(L81&gt;0,I81&lt;0),I81/365*L81*$N$3,"")</f>
        <v/>
      </c>
    </row>
    <row r="82">
      <c r="A82" s="29" t="n">
        <v>45992</v>
      </c>
      <c r="B82" s="26" t="inlineStr">
        <is>
          <t>142.0</t>
        </is>
      </c>
      <c r="C82" s="2" t="inlineStr">
        <is>
          <t>ספוט שקל</t>
        </is>
      </c>
      <c r="D82" s="2" t="inlineStr"/>
      <c r="E82" s="26" t="inlineStr">
        <is>
          <t>4485943.0</t>
        </is>
      </c>
      <c r="F82" s="26" t="inlineStr">
        <is>
          <t>4.0</t>
        </is>
      </c>
      <c r="H82" s="21" t="n">
        <v>584974685</v>
      </c>
      <c r="I82" s="21" t="n">
        <v>566537710.8099999</v>
      </c>
      <c r="L82" s="15">
        <f>A81-A82</f>
        <v/>
      </c>
      <c r="N82" s="20">
        <f>IF(AND(L82&gt;0,I82&lt;0),I82/365*L82*$N$3,"")</f>
        <v/>
      </c>
    </row>
    <row r="83">
      <c r="A83" s="29" t="n">
        <v>45992</v>
      </c>
      <c r="B83" s="26" t="inlineStr">
        <is>
          <t>121.0</t>
        </is>
      </c>
      <c r="C83" s="2" t="inlineStr">
        <is>
          <t>ני"ע-פדיון</t>
        </is>
      </c>
      <c r="D83" s="2" t="inlineStr"/>
      <c r="E83" s="26" t="inlineStr">
        <is>
          <t>2300184.0</t>
        </is>
      </c>
      <c r="F83" s="26" t="inlineStr">
        <is>
          <t>9997.0</t>
        </is>
      </c>
      <c r="H83" s="21" t="n">
        <v>641026.47</v>
      </c>
      <c r="I83" s="21" t="n">
        <v>-18436974.19</v>
      </c>
      <c r="L83" s="15">
        <f>A82-A83</f>
        <v/>
      </c>
      <c r="N83" s="20">
        <f>IF(AND(L83&gt;0,I83&lt;0),I83/365*L83*$N$3,"")</f>
        <v/>
      </c>
    </row>
    <row r="84">
      <c r="A84" s="29" t="n">
        <v>45992</v>
      </c>
      <c r="B84" s="26" t="inlineStr">
        <is>
          <t>121.0</t>
        </is>
      </c>
      <c r="C84" s="2" t="inlineStr">
        <is>
          <t>ני"ע-תש' ריבית</t>
        </is>
      </c>
      <c r="D84" s="2" t="inlineStr"/>
      <c r="E84" s="26" t="inlineStr">
        <is>
          <t>2300184.0</t>
        </is>
      </c>
      <c r="F84" s="26" t="inlineStr">
        <is>
          <t>9997.0</t>
        </is>
      </c>
      <c r="H84" s="21" t="n">
        <v>7051.29</v>
      </c>
      <c r="I84" s="21" t="n">
        <v>-19078000.66</v>
      </c>
      <c r="L84" s="15">
        <f>A83-A84</f>
        <v/>
      </c>
      <c r="N84" s="20">
        <f>IF(AND(L84&gt;0,I84&lt;0),I84/365*L84*$N$3,"")</f>
        <v/>
      </c>
    </row>
    <row r="85">
      <c r="A85" s="29" t="n">
        <v>45991</v>
      </c>
      <c r="B85" s="26" t="inlineStr">
        <is>
          <t>121.0</t>
        </is>
      </c>
      <c r="C85" s="2" t="inlineStr">
        <is>
          <t>ני"ע-פדיון</t>
        </is>
      </c>
      <c r="D85" s="2" t="inlineStr"/>
      <c r="E85" s="26" t="inlineStr">
        <is>
          <t>1140615.0</t>
        </is>
      </c>
      <c r="F85" s="26" t="inlineStr">
        <is>
          <t>9997.0</t>
        </is>
      </c>
      <c r="H85" s="21" t="n">
        <v>1335103.25</v>
      </c>
      <c r="I85" s="21" t="n">
        <v>-19085051.95</v>
      </c>
      <c r="L85" s="15">
        <f>A84-A85</f>
        <v/>
      </c>
      <c r="N85" s="20">
        <f>IF(AND(L85&gt;0,I85&lt;0),I85/365*L85*$N$3,"")</f>
        <v/>
      </c>
    </row>
    <row r="86">
      <c r="A86" s="29" t="n">
        <v>45991</v>
      </c>
      <c r="B86" s="26" t="inlineStr">
        <is>
          <t>121.0</t>
        </is>
      </c>
      <c r="C86" s="2" t="inlineStr">
        <is>
          <t>ני"ע-תש' ריבית</t>
        </is>
      </c>
      <c r="D86" s="2" t="inlineStr"/>
      <c r="E86" s="26" t="inlineStr">
        <is>
          <t>1140615.0</t>
        </is>
      </c>
      <c r="F86" s="26" t="inlineStr">
        <is>
          <t>9997.0</t>
        </is>
      </c>
      <c r="H86" s="21" t="n">
        <v>21870.26</v>
      </c>
      <c r="I86" s="21" t="n">
        <v>-20420155.2</v>
      </c>
      <c r="L86" s="15">
        <f>A85-A86</f>
        <v/>
      </c>
      <c r="N86" s="20">
        <f>IF(AND(L86&gt;0,I86&lt;0),I86/365*L86*$N$3,"")</f>
        <v/>
      </c>
    </row>
    <row r="87">
      <c r="A87" s="29" t="n">
        <v>45989</v>
      </c>
      <c r="B87" s="26" t="inlineStr">
        <is>
          <t>452.0</t>
        </is>
      </c>
      <c r="C87" s="2" t="inlineStr">
        <is>
          <t>החלף ריבית</t>
        </is>
      </c>
      <c r="D87" s="2" t="inlineStr"/>
      <c r="E87" s="26" t="inlineStr">
        <is>
          <t>869768.0</t>
        </is>
      </c>
      <c r="F87" s="26" t="inlineStr">
        <is>
          <t>20.0</t>
        </is>
      </c>
      <c r="G87" s="21" t="n">
        <v>73334.92</v>
      </c>
      <c r="I87" s="21" t="n">
        <v>-20442025.46</v>
      </c>
      <c r="L87" s="15">
        <f>A86-A87</f>
        <v/>
      </c>
      <c r="N87" s="20">
        <f>IF(AND(L87&gt;0,I87&lt;0),I87/365*L87*$N$3,"")</f>
        <v/>
      </c>
    </row>
    <row r="88">
      <c r="A88" s="29" t="n">
        <v>45989</v>
      </c>
      <c r="B88" s="26" t="inlineStr">
        <is>
          <t>452.0</t>
        </is>
      </c>
      <c r="C88" s="2" t="inlineStr">
        <is>
          <t>החלף ריבית</t>
        </is>
      </c>
      <c r="D88" s="2" t="inlineStr"/>
      <c r="E88" s="26" t="inlineStr">
        <is>
          <t>741067.0</t>
        </is>
      </c>
      <c r="F88" s="26" t="inlineStr">
        <is>
          <t>20.0</t>
        </is>
      </c>
      <c r="G88" s="21" t="n">
        <v>450366.73</v>
      </c>
      <c r="I88" s="21" t="n">
        <v>-20368690.54</v>
      </c>
      <c r="L88" s="15">
        <f>A87-A88</f>
        <v/>
      </c>
      <c r="N88" s="20">
        <f>IF(AND(L88&gt;0,I88&lt;0),I88/365*L88*$N$3,"")</f>
        <v/>
      </c>
    </row>
    <row r="89">
      <c r="A89" s="29" t="n">
        <v>45989</v>
      </c>
      <c r="B89" s="26" t="inlineStr">
        <is>
          <t>452.0</t>
        </is>
      </c>
      <c r="C89" s="2" t="inlineStr">
        <is>
          <t>החלף ריבית</t>
        </is>
      </c>
      <c r="D89" s="2" t="inlineStr"/>
      <c r="E89" s="26" t="inlineStr">
        <is>
          <t>740515.0</t>
        </is>
      </c>
      <c r="F89" s="26" t="inlineStr">
        <is>
          <t>20.0</t>
        </is>
      </c>
      <c r="G89" s="21" t="n">
        <v>225183.36</v>
      </c>
      <c r="I89" s="21" t="n">
        <v>-19918323.81</v>
      </c>
      <c r="L89" s="15">
        <f>A88-A89</f>
        <v/>
      </c>
      <c r="N89" s="20">
        <f>IF(AND(L89&gt;0,I89&lt;0),I89/365*L89*$N$3,"")</f>
        <v/>
      </c>
    </row>
    <row r="90">
      <c r="A90" s="29" t="n">
        <v>45989</v>
      </c>
      <c r="B90" s="26" t="inlineStr">
        <is>
          <t>452.0</t>
        </is>
      </c>
      <c r="C90" s="2" t="inlineStr">
        <is>
          <t>רכישה</t>
        </is>
      </c>
      <c r="D90" s="2" t="inlineStr"/>
      <c r="E90" s="26" t="inlineStr">
        <is>
          <t>4485942.0</t>
        </is>
      </c>
      <c r="F90" s="26" t="inlineStr">
        <is>
          <t>2.0</t>
        </is>
      </c>
      <c r="G90" s="21" t="n">
        <v>584972000</v>
      </c>
      <c r="I90" s="21" t="n">
        <v>-19693140.45</v>
      </c>
      <c r="L90" s="15">
        <f>A89-A90</f>
        <v/>
      </c>
      <c r="N90" s="20">
        <f>IF(AND(L90&gt;0,I90&lt;0),I90/365*L90*$N$3,"")</f>
        <v/>
      </c>
    </row>
    <row r="91">
      <c r="A91" s="29" t="n">
        <v>45989</v>
      </c>
      <c r="B91" s="26" t="inlineStr">
        <is>
          <t>142.0</t>
        </is>
      </c>
      <c r="C91" s="2" t="inlineStr">
        <is>
          <t>ספוט שקל</t>
        </is>
      </c>
      <c r="D91" s="2" t="inlineStr"/>
      <c r="E91" s="26" t="inlineStr">
        <is>
          <t>4480460.0</t>
        </is>
      </c>
      <c r="F91" s="26" t="inlineStr">
        <is>
          <t>4.0</t>
        </is>
      </c>
      <c r="H91" s="21" t="n">
        <v>556572996.12</v>
      </c>
      <c r="I91" s="21" t="n">
        <v>565278859.55</v>
      </c>
      <c r="L91" s="15">
        <f>A90-A91</f>
        <v/>
      </c>
      <c r="N91" s="20">
        <f>IF(AND(L91&gt;0,I91&lt;0),I91/365*L91*$N$3,"")</f>
        <v/>
      </c>
    </row>
    <row r="92">
      <c r="A92" s="29" t="n">
        <v>45989</v>
      </c>
      <c r="B92" s="26" t="inlineStr">
        <is>
          <t>142.0</t>
        </is>
      </c>
      <c r="C92" s="2" t="inlineStr">
        <is>
          <t>ספוט שקל</t>
        </is>
      </c>
      <c r="D92" s="2" t="inlineStr"/>
      <c r="E92" s="26" t="inlineStr">
        <is>
          <t>4479380.0</t>
        </is>
      </c>
      <c r="F92" s="26" t="inlineStr">
        <is>
          <t>4.0</t>
        </is>
      </c>
      <c r="H92" s="21" t="n">
        <v>32860000</v>
      </c>
      <c r="I92" s="21" t="n">
        <v>8705863.43</v>
      </c>
      <c r="L92" s="15">
        <f>A91-A92</f>
        <v/>
      </c>
      <c r="N92" s="20">
        <f>IF(AND(L92&gt;0,I92&lt;0),I92/365*L92*$N$3,"")</f>
        <v/>
      </c>
    </row>
    <row r="93">
      <c r="A93" s="29" t="n">
        <v>45987</v>
      </c>
      <c r="B93" s="26" t="inlineStr">
        <is>
          <t>452.0</t>
        </is>
      </c>
      <c r="C93" s="2" t="inlineStr">
        <is>
          <t>רכישה</t>
        </is>
      </c>
      <c r="D93" s="2" t="inlineStr"/>
      <c r="E93" s="26" t="inlineStr">
        <is>
          <t>4480459.0</t>
        </is>
      </c>
      <c r="F93" s="26" t="inlineStr">
        <is>
          <t>2.0</t>
        </is>
      </c>
      <c r="G93" s="21" t="n">
        <v>556569599.29</v>
      </c>
      <c r="I93" s="21" t="n">
        <v>-24154136.57</v>
      </c>
      <c r="L93" s="15">
        <f>A92-A93</f>
        <v/>
      </c>
      <c r="M93" s="20">
        <f>IF(AND(L93&gt;0,I93&lt;0),I93/365*L93*$M$3,"")</f>
        <v/>
      </c>
    </row>
    <row r="94">
      <c r="A94" s="29" t="n">
        <v>45987</v>
      </c>
      <c r="B94" s="26" t="inlineStr">
        <is>
          <t>142.0</t>
        </is>
      </c>
      <c r="C94" s="2" t="inlineStr">
        <is>
          <t>ספוט שקל</t>
        </is>
      </c>
      <c r="D94" s="2" t="inlineStr"/>
      <c r="E94" s="26" t="inlineStr">
        <is>
          <t>4477813.0</t>
        </is>
      </c>
      <c r="F94" s="26" t="inlineStr">
        <is>
          <t>4.0</t>
        </is>
      </c>
      <c r="H94" s="21" t="n">
        <v>556077428.62</v>
      </c>
      <c r="I94" s="21" t="n">
        <v>532415462.72</v>
      </c>
      <c r="L94" s="15">
        <f>A93-A94</f>
        <v/>
      </c>
      <c r="M94" s="20">
        <f>IF(AND(L94&gt;0,I94&lt;0),I94/365*L94*$M$3,"")</f>
        <v/>
      </c>
    </row>
    <row r="95">
      <c r="A95" s="29" t="n">
        <v>45986</v>
      </c>
      <c r="B95" s="26" t="inlineStr">
        <is>
          <t>452.0</t>
        </is>
      </c>
      <c r="C95" s="2" t="inlineStr">
        <is>
          <t>רכישה</t>
        </is>
      </c>
      <c r="D95" s="2" t="inlineStr"/>
      <c r="E95" s="26" t="inlineStr">
        <is>
          <t>4477812.0</t>
        </is>
      </c>
      <c r="F95" s="26" t="inlineStr">
        <is>
          <t>2.0</t>
        </is>
      </c>
      <c r="G95" s="21" t="n">
        <v>556079132.29</v>
      </c>
      <c r="I95" s="21" t="n">
        <v>-23661965.9</v>
      </c>
      <c r="L95" s="15">
        <f>A94-A95</f>
        <v/>
      </c>
      <c r="M95" s="20">
        <f>IF(AND(L95&gt;0,I95&lt;0),I95/365*L95*$M$3,"")</f>
        <v/>
      </c>
    </row>
    <row r="96">
      <c r="A96" s="29" t="n">
        <v>45986</v>
      </c>
      <c r="B96" s="26" t="inlineStr">
        <is>
          <t>452.0</t>
        </is>
      </c>
      <c r="C96" s="2" t="inlineStr">
        <is>
          <t>ספוט שקל</t>
        </is>
      </c>
      <c r="D96" s="2" t="inlineStr"/>
      <c r="E96" s="26" t="inlineStr">
        <is>
          <t>4473701.0</t>
        </is>
      </c>
      <c r="F96" s="26" t="inlineStr">
        <is>
          <t>4.0</t>
        </is>
      </c>
      <c r="G96" s="21" t="n">
        <v>65780000</v>
      </c>
      <c r="I96" s="21" t="n">
        <v>532417166.39</v>
      </c>
      <c r="L96" s="15">
        <f>A95-A96</f>
        <v/>
      </c>
      <c r="M96" s="20">
        <f>IF(AND(L96&gt;0,I96&lt;0),I96/365*L96*$M$3,"")</f>
        <v/>
      </c>
    </row>
    <row r="97">
      <c r="A97" s="29" t="n">
        <v>45986</v>
      </c>
      <c r="B97" s="26" t="inlineStr">
        <is>
          <t>142.0</t>
        </is>
      </c>
      <c r="C97" s="2" t="inlineStr">
        <is>
          <t>ספוט שקל</t>
        </is>
      </c>
      <c r="D97" s="2" t="inlineStr"/>
      <c r="E97" s="26" t="inlineStr">
        <is>
          <t>4474728.0</t>
        </is>
      </c>
      <c r="F97" s="26" t="inlineStr">
        <is>
          <t>4.0</t>
        </is>
      </c>
      <c r="H97" s="21" t="n">
        <v>148112743.59</v>
      </c>
      <c r="I97" s="21" t="n">
        <v>598197166.39</v>
      </c>
      <c r="L97" s="15">
        <f>A96-A97</f>
        <v/>
      </c>
      <c r="M97" s="20">
        <f>IF(AND(L97&gt;0,I97&lt;0),I97/365*L97*$M$3,"")</f>
        <v/>
      </c>
    </row>
    <row r="98">
      <c r="A98" s="29" t="n">
        <v>45986</v>
      </c>
      <c r="B98" s="26" t="inlineStr">
        <is>
          <t>142.0</t>
        </is>
      </c>
      <c r="C98" s="2" t="inlineStr">
        <is>
          <t>ספוט שקל</t>
        </is>
      </c>
      <c r="D98" s="2" t="inlineStr"/>
      <c r="E98" s="26" t="inlineStr">
        <is>
          <t>4473559.0</t>
        </is>
      </c>
      <c r="F98" s="26" t="inlineStr">
        <is>
          <t>4.0</t>
        </is>
      </c>
      <c r="H98" s="21" t="n">
        <v>65940000</v>
      </c>
      <c r="I98" s="21" t="n">
        <v>450084422.8</v>
      </c>
      <c r="L98" s="15">
        <f>A97-A98</f>
        <v/>
      </c>
      <c r="M98" s="20">
        <f>IF(AND(L98&gt;0,I98&lt;0),I98/365*L98*$M$3,"")</f>
        <v/>
      </c>
    </row>
    <row r="99">
      <c r="A99" s="29" t="n">
        <v>45986</v>
      </c>
      <c r="B99" s="26" t="inlineStr">
        <is>
          <t>121.0</t>
        </is>
      </c>
      <c r="C99" s="2" t="inlineStr">
        <is>
          <t>ני"ע-תש' ריבית</t>
        </is>
      </c>
      <c r="D99" s="2" t="inlineStr"/>
      <c r="E99" s="26" t="inlineStr">
        <is>
          <t>6040539.0</t>
        </is>
      </c>
      <c r="F99" s="26" t="inlineStr">
        <is>
          <t>9997.0</t>
        </is>
      </c>
      <c r="H99" s="21" t="n">
        <v>4856.24</v>
      </c>
      <c r="I99" s="21" t="n">
        <v>384144422.8</v>
      </c>
      <c r="L99" s="15">
        <f>A98-A99</f>
        <v/>
      </c>
      <c r="M99" s="20">
        <f>IF(AND(L99&gt;0,I99&lt;0),I99/365*L99*$M$3,"")</f>
        <v/>
      </c>
    </row>
    <row r="100">
      <c r="A100" s="29" t="n">
        <v>45986</v>
      </c>
      <c r="B100" s="26" t="inlineStr">
        <is>
          <t>469.0</t>
        </is>
      </c>
      <c r="C100" s="2" t="inlineStr">
        <is>
          <t>הוראת-קבע</t>
        </is>
      </c>
      <c r="D100" s="2" t="inlineStr"/>
      <c r="E100" s="26" t="inlineStr">
        <is>
          <t>600672577.0</t>
        </is>
      </c>
      <c r="F100" s="26" t="inlineStr">
        <is>
          <t>33333.0</t>
        </is>
      </c>
      <c r="G100" s="21" t="n">
        <v>-384139566.56</v>
      </c>
      <c r="I100" s="21" t="n">
        <v>384139566.56</v>
      </c>
      <c r="L100" s="15">
        <f>A99-A100</f>
        <v/>
      </c>
      <c r="M100" s="20">
        <f>IF(AND(L100&gt;0,I100&lt;0),I100/365*L100*$M$3,"")</f>
        <v/>
      </c>
    </row>
    <row r="101">
      <c r="A101" s="29" t="n">
        <v>45985</v>
      </c>
      <c r="B101" s="26" t="inlineStr">
        <is>
          <t>469.0</t>
        </is>
      </c>
      <c r="C101" s="2" t="inlineStr">
        <is>
          <t>הוראת-קבע</t>
        </is>
      </c>
      <c r="D101" s="2" t="inlineStr"/>
      <c r="E101" s="26" t="inlineStr">
        <is>
          <t>600672577.0</t>
        </is>
      </c>
      <c r="F101" s="26" t="inlineStr">
        <is>
          <t>33333.0</t>
        </is>
      </c>
      <c r="G101" s="21" t="n">
        <v>384717924.69</v>
      </c>
      <c r="L101" s="15">
        <f>A100-A101</f>
        <v/>
      </c>
      <c r="M101" s="20">
        <f>IF(AND(L101&gt;0,I101&lt;0),I101/365*L101*$M$3,"")</f>
        <v/>
      </c>
    </row>
    <row r="102">
      <c r="A102" s="29" t="n">
        <v>45985</v>
      </c>
      <c r="B102" s="26" t="inlineStr">
        <is>
          <t>452.0</t>
        </is>
      </c>
      <c r="C102" s="2" t="inlineStr">
        <is>
          <t>רכישה</t>
        </is>
      </c>
      <c r="D102" s="2" t="inlineStr"/>
      <c r="E102" s="26" t="inlineStr">
        <is>
          <t>4474727.0</t>
        </is>
      </c>
      <c r="F102" s="26" t="inlineStr">
        <is>
          <t>2.0</t>
        </is>
      </c>
      <c r="G102" s="21" t="n">
        <v>148113649.48</v>
      </c>
      <c r="I102" s="21" t="n">
        <v>384717924.69</v>
      </c>
      <c r="L102" s="15">
        <f>A101-A102</f>
        <v/>
      </c>
      <c r="M102" s="20">
        <f>IF(AND(L102&gt;0,I102&lt;0),I102/365*L102*$M$3,"")</f>
        <v/>
      </c>
    </row>
    <row r="103">
      <c r="A103" s="29" t="n">
        <v>45985</v>
      </c>
      <c r="B103" s="26" t="inlineStr">
        <is>
          <t>452.0</t>
        </is>
      </c>
      <c r="C103" s="2" t="inlineStr">
        <is>
          <t>ספוט שקל</t>
        </is>
      </c>
      <c r="D103" s="2" t="inlineStr"/>
      <c r="E103" s="26" t="inlineStr">
        <is>
          <t>4471830.0</t>
        </is>
      </c>
      <c r="F103" s="26" t="inlineStr">
        <is>
          <t>4.0</t>
        </is>
      </c>
      <c r="G103" s="21" t="n">
        <v>16240000</v>
      </c>
      <c r="I103" s="21" t="n">
        <v>532831574.17</v>
      </c>
      <c r="L103" s="15">
        <f>A102-A103</f>
        <v/>
      </c>
      <c r="M103" s="20">
        <f>IF(AND(L103&gt;0,I103&lt;0),I103/365*L103*$M$3,"")</f>
        <v/>
      </c>
    </row>
    <row r="104">
      <c r="A104" s="29" t="n">
        <v>45985</v>
      </c>
      <c r="B104" s="26" t="inlineStr">
        <is>
          <t>142.0</t>
        </is>
      </c>
      <c r="C104" s="2" t="inlineStr">
        <is>
          <t>ספוט שקל</t>
        </is>
      </c>
      <c r="D104" s="2" t="inlineStr"/>
      <c r="E104" s="26" t="inlineStr">
        <is>
          <t>4472880.0</t>
        </is>
      </c>
      <c r="F104" s="26" t="inlineStr">
        <is>
          <t>4.0</t>
        </is>
      </c>
      <c r="H104" s="21" t="n">
        <v>556056965.24</v>
      </c>
      <c r="I104" s="21" t="n">
        <v>549071574.17</v>
      </c>
      <c r="L104" s="15">
        <f>A103-A104</f>
        <v/>
      </c>
      <c r="M104" s="20">
        <f>IF(AND(L104&gt;0,I104&lt;0),I104/365*L104*$M$3,"")</f>
        <v/>
      </c>
    </row>
    <row r="105">
      <c r="A105" s="29" t="n">
        <v>45982</v>
      </c>
      <c r="B105" s="26" t="inlineStr">
        <is>
          <t>452.0</t>
        </is>
      </c>
      <c r="C105" s="2" t="inlineStr">
        <is>
          <t>רכישה</t>
        </is>
      </c>
      <c r="D105" s="2" t="inlineStr"/>
      <c r="E105" s="26" t="inlineStr">
        <is>
          <t>4472879.0</t>
        </is>
      </c>
      <c r="F105" s="26" t="inlineStr">
        <is>
          <t>2.0</t>
        </is>
      </c>
      <c r="G105" s="21" t="n">
        <v>556051894.86</v>
      </c>
      <c r="I105" s="21" t="n">
        <v>-6985391.07</v>
      </c>
      <c r="L105" s="15">
        <f>A104-A105</f>
        <v/>
      </c>
      <c r="M105" s="20">
        <f>IF(AND(L105&gt;0,I105&lt;0),I105/365*L105*$M$3,"")</f>
        <v/>
      </c>
    </row>
    <row r="106">
      <c r="A106" s="29" t="n">
        <v>45982</v>
      </c>
      <c r="B106" s="26" t="inlineStr">
        <is>
          <t>142.0</t>
        </is>
      </c>
      <c r="C106" s="2" t="inlineStr">
        <is>
          <t>ספוט שקל</t>
        </is>
      </c>
      <c r="D106" s="2" t="inlineStr"/>
      <c r="E106" s="26" t="inlineStr">
        <is>
          <t>4470245.0</t>
        </is>
      </c>
      <c r="F106" s="26" t="inlineStr">
        <is>
          <t>4.0</t>
        </is>
      </c>
      <c r="H106" s="21" t="n">
        <v>549066503.79</v>
      </c>
      <c r="I106" s="21" t="n">
        <v>549066503.79</v>
      </c>
      <c r="L106" s="15">
        <f>A105-A106</f>
        <v/>
      </c>
      <c r="M106" s="20">
        <f>IF(AND(L106&gt;0,I106&lt;0),I106/365*L106*$M$3,"")</f>
        <v/>
      </c>
    </row>
    <row r="107">
      <c r="A107" s="29" t="n">
        <v>45981</v>
      </c>
      <c r="B107" s="26" t="inlineStr">
        <is>
          <t>452.0</t>
        </is>
      </c>
      <c r="C107" s="2" t="inlineStr">
        <is>
          <t>רכישה</t>
        </is>
      </c>
      <c r="D107" s="2" t="inlineStr"/>
      <c r="E107" s="26" t="inlineStr">
        <is>
          <t>4470244.0</t>
        </is>
      </c>
      <c r="F107" s="26" t="inlineStr">
        <is>
          <t>2.0</t>
        </is>
      </c>
      <c r="G107" s="21" t="n">
        <v>549061451.08</v>
      </c>
      <c r="L107" s="15">
        <f>A106-A107</f>
        <v/>
      </c>
      <c r="M107" s="20">
        <f>IF(AND(L107&gt;0,I107&lt;0),I107/365*L107*$M$3,"")</f>
        <v/>
      </c>
    </row>
    <row r="108">
      <c r="A108" s="29" t="n">
        <v>45981</v>
      </c>
      <c r="B108" s="26" t="inlineStr">
        <is>
          <t>142.0</t>
        </is>
      </c>
      <c r="C108" s="2" t="inlineStr">
        <is>
          <t>ספוט שקל</t>
        </is>
      </c>
      <c r="D108" s="2" t="inlineStr"/>
      <c r="E108" s="26" t="inlineStr">
        <is>
          <t>4466916.0</t>
        </is>
      </c>
      <c r="F108" s="26" t="inlineStr">
        <is>
          <t>4.0</t>
        </is>
      </c>
      <c r="H108" s="21" t="n">
        <v>552159758</v>
      </c>
      <c r="I108" s="21" t="n">
        <v>549061451.08</v>
      </c>
      <c r="L108" s="15">
        <f>A107-A108</f>
        <v/>
      </c>
      <c r="M108" s="20">
        <f>IF(AND(L108&gt;0,I108&lt;0),I108/365*L108*$M$3,"")</f>
        <v/>
      </c>
    </row>
    <row r="109">
      <c r="A109" s="29" t="n">
        <v>45981</v>
      </c>
      <c r="B109" s="26" t="inlineStr">
        <is>
          <t>469.0</t>
        </is>
      </c>
      <c r="C109" s="2" t="inlineStr">
        <is>
          <t>הוראת-קבע</t>
        </is>
      </c>
      <c r="D109" s="2" t="inlineStr"/>
      <c r="E109" s="26" t="inlineStr">
        <is>
          <t>600672577.0</t>
        </is>
      </c>
      <c r="F109" s="26" t="inlineStr">
        <is>
          <t>33333.0</t>
        </is>
      </c>
      <c r="G109" s="21" t="n">
        <v>-11501536.62</v>
      </c>
      <c r="I109" s="21" t="n">
        <v>-3098306.92</v>
      </c>
      <c r="L109" s="15">
        <f>A108-A109</f>
        <v/>
      </c>
      <c r="M109" s="20">
        <f>IF(AND(L109&gt;0,I109&lt;0),I109/365*L109*$M$3,"")</f>
        <v/>
      </c>
    </row>
    <row r="110">
      <c r="A110" s="29" t="n">
        <v>45980</v>
      </c>
      <c r="B110" s="26" t="inlineStr">
        <is>
          <t>452.0</t>
        </is>
      </c>
      <c r="C110" s="2" t="inlineStr">
        <is>
          <t>רכישה</t>
        </is>
      </c>
      <c r="D110" s="2" t="inlineStr"/>
      <c r="E110" s="26" t="inlineStr">
        <is>
          <t>4466915.0</t>
        </is>
      </c>
      <c r="F110" s="26" t="inlineStr">
        <is>
          <t>2.0</t>
        </is>
      </c>
      <c r="G110" s="21" t="n">
        <v>552159758</v>
      </c>
      <c r="I110" s="21" t="n">
        <v>-14599843.54</v>
      </c>
      <c r="L110" s="15">
        <f>A109-A110</f>
        <v/>
      </c>
      <c r="M110" s="20">
        <f>IF(AND(L110&gt;0,I110&lt;0),I110/365*L110*$M$3,"")</f>
        <v/>
      </c>
    </row>
    <row r="111">
      <c r="A111" s="29" t="n">
        <v>45980</v>
      </c>
      <c r="B111" s="26" t="inlineStr">
        <is>
          <t>142.0</t>
        </is>
      </c>
      <c r="C111" s="2" t="inlineStr">
        <is>
          <t>ספוט שקל</t>
        </is>
      </c>
      <c r="D111" s="2" t="inlineStr"/>
      <c r="E111" s="26" t="inlineStr">
        <is>
          <t>4464096.0</t>
        </is>
      </c>
      <c r="F111" s="26" t="inlineStr">
        <is>
          <t>4.0</t>
        </is>
      </c>
      <c r="H111" s="21" t="n">
        <v>550763139.62</v>
      </c>
      <c r="I111" s="21" t="n">
        <v>537559914.46</v>
      </c>
      <c r="L111" s="15">
        <f>A110-A111</f>
        <v/>
      </c>
      <c r="M111" s="20">
        <f>IF(AND(L111&gt;0,I111&lt;0),I111/365*L111*$M$3,"")</f>
        <v/>
      </c>
    </row>
    <row r="112">
      <c r="A112" s="29" t="n">
        <v>45979</v>
      </c>
      <c r="B112" s="26" t="inlineStr">
        <is>
          <t>452.0</t>
        </is>
      </c>
      <c r="C112" s="2" t="inlineStr">
        <is>
          <t>רכישה</t>
        </is>
      </c>
      <c r="D112" s="2" t="inlineStr"/>
      <c r="E112" s="26" t="inlineStr">
        <is>
          <t>4464095.0</t>
        </is>
      </c>
      <c r="F112" s="26" t="inlineStr">
        <is>
          <t>2.0</t>
        </is>
      </c>
      <c r="G112" s="21" t="n">
        <v>550759762.8</v>
      </c>
      <c r="I112" s="21" t="n">
        <v>-13203225.16</v>
      </c>
      <c r="L112" s="15">
        <f>A111-A112</f>
        <v/>
      </c>
      <c r="M112" s="20">
        <f>IF(AND(L112&gt;0,I112&lt;0),I112/365*L112*$M$3,"")</f>
        <v/>
      </c>
    </row>
    <row r="113">
      <c r="A113" s="29" t="n">
        <v>45979</v>
      </c>
      <c r="B113" s="26" t="inlineStr">
        <is>
          <t>142.0</t>
        </is>
      </c>
      <c r="C113" s="2" t="inlineStr">
        <is>
          <t>ספוט שקל</t>
        </is>
      </c>
      <c r="D113" s="2" t="inlineStr"/>
      <c r="E113" s="26" t="inlineStr">
        <is>
          <t>4459979.0</t>
        </is>
      </c>
      <c r="F113" s="26" t="inlineStr">
        <is>
          <t>4.0</t>
        </is>
      </c>
      <c r="H113" s="21" t="n">
        <v>541295220.84</v>
      </c>
      <c r="I113" s="21" t="n">
        <v>537556537.64</v>
      </c>
      <c r="L113" s="15">
        <f>A112-A113</f>
        <v/>
      </c>
      <c r="M113" s="20">
        <f>IF(AND(L113&gt;0,I113&lt;0),I113/365*L113*$M$3,"")</f>
        <v/>
      </c>
    </row>
    <row r="114">
      <c r="A114" s="29" t="n">
        <v>45978</v>
      </c>
      <c r="B114" s="26" t="inlineStr">
        <is>
          <t>452.0</t>
        </is>
      </c>
      <c r="C114" s="2" t="inlineStr">
        <is>
          <t>רכישה</t>
        </is>
      </c>
      <c r="D114" s="2" t="inlineStr"/>
      <c r="E114" s="26" t="inlineStr">
        <is>
          <t>4459978.0</t>
        </is>
      </c>
      <c r="F114" s="26" t="inlineStr">
        <is>
          <t>2.0</t>
        </is>
      </c>
      <c r="G114" s="21" t="n">
        <v>541297738.5</v>
      </c>
      <c r="I114" s="21" t="n">
        <v>-3738683.2</v>
      </c>
      <c r="L114" s="15">
        <f>A113-A114</f>
        <v/>
      </c>
      <c r="M114" s="20">
        <f>IF(AND(L114&gt;0,I114&lt;0),I114/365*L114*$M$3,"")</f>
        <v/>
      </c>
    </row>
    <row r="115">
      <c r="A115" s="29" t="n">
        <v>45978</v>
      </c>
      <c r="B115" s="26" t="inlineStr">
        <is>
          <t>452.0</t>
        </is>
      </c>
      <c r="C115" s="2" t="inlineStr">
        <is>
          <t>ע' העברת מט"ח</t>
        </is>
      </c>
      <c r="D115" s="2" t="inlineStr"/>
      <c r="E115" s="26" t="inlineStr">
        <is>
          <t>210643.0</t>
        </is>
      </c>
      <c r="F115" s="26" t="inlineStr">
        <is>
          <t>79403.0</t>
        </is>
      </c>
      <c r="G115" s="21" t="n">
        <v>58.91</v>
      </c>
      <c r="I115" s="21" t="n">
        <v>537559055.3</v>
      </c>
      <c r="L115" s="15">
        <f>A114-A115</f>
        <v/>
      </c>
      <c r="M115" s="20">
        <f>IF(AND(L115&gt;0,I115&lt;0),I115/365*L115*$M$3,"")</f>
        <v/>
      </c>
    </row>
    <row r="116">
      <c r="A116" s="29" t="n">
        <v>45978</v>
      </c>
      <c r="B116" s="26" t="inlineStr">
        <is>
          <t>142.0</t>
        </is>
      </c>
      <c r="C116" s="2" t="inlineStr">
        <is>
          <t>ספוט שקל</t>
        </is>
      </c>
      <c r="D116" s="2" t="inlineStr"/>
      <c r="E116" s="26" t="inlineStr">
        <is>
          <t>4455612.0</t>
        </is>
      </c>
      <c r="F116" s="26" t="inlineStr">
        <is>
          <t>4.0</t>
        </is>
      </c>
      <c r="H116" s="21" t="n">
        <v>537559114.21</v>
      </c>
      <c r="I116" s="21" t="n">
        <v>537559114.21</v>
      </c>
      <c r="L116" s="15">
        <f>A115-A116</f>
        <v/>
      </c>
      <c r="M116" s="20">
        <f>IF(AND(L116&gt;0,I116&lt;0),I116/365*L116*$M$3,"")</f>
        <v/>
      </c>
    </row>
    <row r="117">
      <c r="A117" s="29" t="n">
        <v>45977</v>
      </c>
      <c r="B117" s="26" t="inlineStr">
        <is>
          <t>469.0</t>
        </is>
      </c>
      <c r="C117" s="2" t="inlineStr">
        <is>
          <t>הוראת-קבע</t>
        </is>
      </c>
      <c r="D117" s="2" t="inlineStr"/>
      <c r="E117" s="26" t="inlineStr">
        <is>
          <t>600672577.0</t>
        </is>
      </c>
      <c r="F117" s="26" t="inlineStr">
        <is>
          <t>33333.0</t>
        </is>
      </c>
      <c r="G117" s="21" t="n">
        <v>212641.42</v>
      </c>
      <c r="L117" s="15">
        <f>A116-A117</f>
        <v/>
      </c>
      <c r="M117" s="20">
        <f>IF(AND(L117&gt;0,I117&lt;0),I117/365*L117*$M$3,"")</f>
        <v/>
      </c>
    </row>
    <row r="118">
      <c r="A118" s="29" t="n">
        <v>45977</v>
      </c>
      <c r="B118" s="26" t="inlineStr">
        <is>
          <t>121.0</t>
        </is>
      </c>
      <c r="C118" s="2" t="inlineStr">
        <is>
          <t>ני"ע-תש' ריבית</t>
        </is>
      </c>
      <c r="D118" s="2" t="inlineStr"/>
      <c r="E118" s="26" t="inlineStr">
        <is>
          <t>6130207.0</t>
        </is>
      </c>
      <c r="F118" s="26" t="inlineStr">
        <is>
          <t>9997.0</t>
        </is>
      </c>
      <c r="H118" s="21" t="n">
        <v>212641.42</v>
      </c>
      <c r="I118" s="21" t="n">
        <v>212641.42</v>
      </c>
      <c r="L118" s="15">
        <f>A117-A118</f>
        <v/>
      </c>
      <c r="M118" s="20">
        <f>IF(AND(L118&gt;0,I118&lt;0),I118/365*L118*$M$3,"")</f>
        <v/>
      </c>
    </row>
    <row r="119">
      <c r="A119" s="29" t="n">
        <v>45975</v>
      </c>
      <c r="B119" s="26" t="inlineStr">
        <is>
          <t>469.0</t>
        </is>
      </c>
      <c r="C119" s="2" t="inlineStr">
        <is>
          <t>הוראת-קבע</t>
        </is>
      </c>
      <c r="D119" s="2" t="inlineStr"/>
      <c r="E119" s="26" t="inlineStr">
        <is>
          <t>600672577.0</t>
        </is>
      </c>
      <c r="F119" s="26" t="inlineStr">
        <is>
          <t>33333.0</t>
        </is>
      </c>
      <c r="G119" s="21" t="n">
        <v>505688.18</v>
      </c>
      <c r="L119" s="15">
        <f>A118-A119</f>
        <v/>
      </c>
      <c r="M119" s="20">
        <f>IF(AND(L119&gt;0,I119&lt;0),I119/365*L119*$M$3,"")</f>
        <v/>
      </c>
    </row>
    <row r="120">
      <c r="A120" s="29" t="n">
        <v>45975</v>
      </c>
      <c r="B120" s="26" t="inlineStr">
        <is>
          <t>452.0</t>
        </is>
      </c>
      <c r="C120" s="2" t="inlineStr">
        <is>
          <t>ספוט שקל</t>
        </is>
      </c>
      <c r="D120" s="2" t="inlineStr"/>
      <c r="E120" s="26" t="inlineStr">
        <is>
          <t>4455611.0</t>
        </is>
      </c>
      <c r="F120" s="26" t="inlineStr">
        <is>
          <t>4.0</t>
        </is>
      </c>
      <c r="G120" s="21" t="n">
        <v>537555759.73</v>
      </c>
      <c r="I120" s="21" t="n">
        <v>505688.18</v>
      </c>
      <c r="L120" s="15">
        <f>A119-A120</f>
        <v/>
      </c>
      <c r="M120" s="20">
        <f>IF(AND(L120&gt;0,I120&lt;0),I120/365*L120*$M$3,"")</f>
        <v/>
      </c>
    </row>
    <row r="121">
      <c r="A121" s="29" t="n">
        <v>45975</v>
      </c>
      <c r="B121" s="26" t="inlineStr">
        <is>
          <t>142.0</t>
        </is>
      </c>
      <c r="C121" s="2" t="inlineStr">
        <is>
          <t>ספוט שקל</t>
        </is>
      </c>
      <c r="D121" s="2" t="inlineStr"/>
      <c r="E121" s="26" t="inlineStr">
        <is>
          <t>4451581.0</t>
        </is>
      </c>
      <c r="F121" s="26" t="inlineStr">
        <is>
          <t>4.0</t>
        </is>
      </c>
      <c r="H121" s="21" t="n">
        <v>538061447.91</v>
      </c>
      <c r="I121" s="21" t="n">
        <v>538061447.91</v>
      </c>
      <c r="L121" s="15">
        <f>A120-A121</f>
        <v/>
      </c>
      <c r="M121" s="20">
        <f>IF(AND(L121&gt;0,I121&lt;0),I121/365*L121*$M$3,"")</f>
        <v/>
      </c>
    </row>
    <row r="122">
      <c r="A122" s="29" t="n">
        <v>45974</v>
      </c>
      <c r="B122" s="26" t="inlineStr">
        <is>
          <t>469.0</t>
        </is>
      </c>
      <c r="C122" s="2" t="inlineStr">
        <is>
          <t>הוראת-קבע</t>
        </is>
      </c>
      <c r="D122" s="2" t="inlineStr"/>
      <c r="E122" s="26" t="inlineStr">
        <is>
          <t>600672577.0</t>
        </is>
      </c>
      <c r="F122" s="26" t="inlineStr">
        <is>
          <t>33333.0</t>
        </is>
      </c>
      <c r="G122" s="21" t="n">
        <v>3624371.51</v>
      </c>
      <c r="L122" s="15">
        <f>A121-A122</f>
        <v/>
      </c>
      <c r="M122" s="20">
        <f>IF(AND(L122&gt;0,I122&lt;0),I122/365*L122*$M$3,"")</f>
        <v/>
      </c>
    </row>
    <row r="123">
      <c r="A123" s="29" t="n">
        <v>45974</v>
      </c>
      <c r="B123" s="26" t="inlineStr">
        <is>
          <t>452.0</t>
        </is>
      </c>
      <c r="C123" s="2" t="inlineStr">
        <is>
          <t>ספוט שקל</t>
        </is>
      </c>
      <c r="D123" s="2" t="inlineStr"/>
      <c r="E123" s="26" t="inlineStr">
        <is>
          <t>4451580.0</t>
        </is>
      </c>
      <c r="F123" s="26" t="inlineStr">
        <is>
          <t>4.0</t>
        </is>
      </c>
      <c r="G123" s="21" t="n">
        <v>538058932.05</v>
      </c>
      <c r="I123" s="21" t="n">
        <v>3624371.51</v>
      </c>
      <c r="L123" s="15">
        <f>A122-A123</f>
        <v/>
      </c>
      <c r="M123" s="20">
        <f>IF(AND(L123&gt;0,I123&lt;0),I123/365*L123*$M$3,"")</f>
        <v/>
      </c>
    </row>
    <row r="124">
      <c r="A124" s="29" t="n">
        <v>45974</v>
      </c>
      <c r="B124" s="26" t="inlineStr">
        <is>
          <t>142.0</t>
        </is>
      </c>
      <c r="C124" s="2" t="inlineStr">
        <is>
          <t>ספוט שקל</t>
        </is>
      </c>
      <c r="D124" s="2" t="inlineStr"/>
      <c r="E124" s="26" t="inlineStr">
        <is>
          <t>4449914.0</t>
        </is>
      </c>
      <c r="F124" s="26" t="inlineStr">
        <is>
          <t>4.0</t>
        </is>
      </c>
      <c r="H124" s="21" t="n">
        <v>541683303.5599999</v>
      </c>
      <c r="I124" s="21" t="n">
        <v>541683303.5599999</v>
      </c>
      <c r="L124" s="15">
        <f>A123-A124</f>
        <v/>
      </c>
      <c r="M124" s="20">
        <f>IF(AND(L124&gt;0,I124&lt;0),I124/365*L124*$M$3,"")</f>
        <v/>
      </c>
    </row>
    <row r="125">
      <c r="A125" s="29" t="n">
        <v>45973</v>
      </c>
      <c r="B125" s="26" t="inlineStr">
        <is>
          <t>469.0</t>
        </is>
      </c>
      <c r="C125" s="2" t="inlineStr">
        <is>
          <t>הוראת-קבע</t>
        </is>
      </c>
      <c r="D125" s="2" t="inlineStr"/>
      <c r="E125" s="26" t="inlineStr">
        <is>
          <t>600672577.0</t>
        </is>
      </c>
      <c r="F125" s="26" t="inlineStr">
        <is>
          <t>33333.0</t>
        </is>
      </c>
      <c r="G125" s="21" t="n">
        <v>18511656.8</v>
      </c>
      <c r="L125" s="15">
        <f>A124-A125</f>
        <v/>
      </c>
      <c r="M125" s="20">
        <f>IF(AND(L125&gt;0,I125&lt;0),I125/365*L125*$M$3,"")</f>
        <v/>
      </c>
    </row>
    <row r="126">
      <c r="A126" s="29" t="n">
        <v>45973</v>
      </c>
      <c r="B126" s="26" t="inlineStr">
        <is>
          <t>452.0</t>
        </is>
      </c>
      <c r="C126" s="2" t="inlineStr">
        <is>
          <t>החלף ריבית</t>
        </is>
      </c>
      <c r="D126" s="2" t="inlineStr"/>
      <c r="E126" s="26" t="inlineStr">
        <is>
          <t>883828.0</t>
        </is>
      </c>
      <c r="F126" s="26" t="inlineStr">
        <is>
          <t>20.0</t>
        </is>
      </c>
      <c r="G126" s="21" t="n">
        <v>15157.45</v>
      </c>
      <c r="I126" s="21" t="n">
        <v>18511656.8</v>
      </c>
      <c r="L126" s="15">
        <f>A125-A126</f>
        <v/>
      </c>
      <c r="M126" s="20">
        <f>IF(AND(L126&gt;0,I126&lt;0),I126/365*L126*$M$3,"")</f>
        <v/>
      </c>
    </row>
    <row r="127">
      <c r="A127" s="29" t="n">
        <v>45973</v>
      </c>
      <c r="B127" s="26" t="inlineStr">
        <is>
          <t>452.0</t>
        </is>
      </c>
      <c r="C127" s="2" t="inlineStr">
        <is>
          <t>החלף ריבית</t>
        </is>
      </c>
      <c r="D127" s="2" t="inlineStr"/>
      <c r="E127" s="26" t="inlineStr">
        <is>
          <t>822315.0</t>
        </is>
      </c>
      <c r="F127" s="26" t="inlineStr">
        <is>
          <t>20.0</t>
        </is>
      </c>
      <c r="G127" s="21" t="n">
        <v>170764.22</v>
      </c>
      <c r="I127" s="21" t="n">
        <v>18526814.25</v>
      </c>
      <c r="L127" s="15">
        <f>A126-A127</f>
        <v/>
      </c>
      <c r="M127" s="20">
        <f>IF(AND(L127&gt;0,I127&lt;0),I127/365*L127*$M$3,"")</f>
        <v/>
      </c>
    </row>
    <row r="128">
      <c r="A128" s="29" t="n">
        <v>45973</v>
      </c>
      <c r="B128" s="26" t="inlineStr">
        <is>
          <t>452.0</t>
        </is>
      </c>
      <c r="C128" s="2" t="inlineStr">
        <is>
          <t>ספוט שקל</t>
        </is>
      </c>
      <c r="D128" s="2" t="inlineStr"/>
      <c r="E128" s="26" t="inlineStr">
        <is>
          <t>4449913.0</t>
        </is>
      </c>
      <c r="F128" s="26" t="inlineStr">
        <is>
          <t>4.0</t>
        </is>
      </c>
      <c r="G128" s="21" t="n">
        <v>541681621.3200001</v>
      </c>
      <c r="I128" s="21" t="n">
        <v>18697578.47</v>
      </c>
      <c r="L128" s="15">
        <f>A127-A128</f>
        <v/>
      </c>
      <c r="M128" s="20">
        <f>IF(AND(L128&gt;0,I128&lt;0),I128/365*L128*$M$3,"")</f>
        <v/>
      </c>
    </row>
    <row r="129">
      <c r="A129" s="29" t="n">
        <v>45973</v>
      </c>
      <c r="B129" s="26" t="inlineStr">
        <is>
          <t>452.0</t>
        </is>
      </c>
      <c r="C129" s="2" t="inlineStr">
        <is>
          <t>פורוורד שקל</t>
        </is>
      </c>
      <c r="D129" s="2" t="inlineStr"/>
      <c r="E129" s="26" t="inlineStr">
        <is>
          <t>4435119.0</t>
        </is>
      </c>
      <c r="F129" s="26" t="inlineStr">
        <is>
          <t>6.0</t>
        </is>
      </c>
      <c r="G129" s="21" t="n">
        <v>16534647.09</v>
      </c>
      <c r="I129" s="21" t="n">
        <v>560379199.79</v>
      </c>
      <c r="L129" s="15">
        <f>A128-A129</f>
        <v/>
      </c>
      <c r="M129" s="20">
        <f>IF(AND(L129&gt;0,I129&lt;0),I129/365*L129*$M$3,"")</f>
        <v/>
      </c>
    </row>
    <row r="130">
      <c r="A130" s="29" t="n">
        <v>45973</v>
      </c>
      <c r="B130" s="26" t="inlineStr">
        <is>
          <t>142.0</t>
        </is>
      </c>
      <c r="C130" s="2" t="inlineStr">
        <is>
          <t>פורוורד שקל</t>
        </is>
      </c>
      <c r="D130" s="2" t="inlineStr"/>
      <c r="E130" s="26" t="inlineStr">
        <is>
          <t>4430257.0</t>
        </is>
      </c>
      <c r="F130" s="26" t="inlineStr">
        <is>
          <t>6.0</t>
        </is>
      </c>
      <c r="H130" s="21" t="n">
        <v>576913846.88</v>
      </c>
      <c r="I130" s="21" t="n">
        <v>576913846.88</v>
      </c>
      <c r="L130" s="15">
        <f>A129-A130</f>
        <v/>
      </c>
      <c r="M130" s="20">
        <f>IF(AND(L130&gt;0,I130&lt;0),I130/365*L130*$M$3,"")</f>
        <v/>
      </c>
    </row>
    <row r="131">
      <c r="A131" s="29" t="n">
        <v>45971</v>
      </c>
      <c r="B131" s="26" t="inlineStr">
        <is>
          <t>469.0</t>
        </is>
      </c>
      <c r="C131" s="2" t="inlineStr">
        <is>
          <t>הוראת-קבע</t>
        </is>
      </c>
      <c r="D131" s="2" t="inlineStr"/>
      <c r="E131" s="26" t="inlineStr">
        <is>
          <t>600672577.0</t>
        </is>
      </c>
      <c r="F131" s="26" t="inlineStr">
        <is>
          <t>33333.0</t>
        </is>
      </c>
      <c r="G131" s="21" t="n">
        <v>9552.059999999999</v>
      </c>
      <c r="L131" s="15">
        <f>A130-A131</f>
        <v/>
      </c>
      <c r="M131" s="20">
        <f>IF(AND(L131&gt;0,I131&lt;0),I131/365*L131*$M$3,"")</f>
        <v/>
      </c>
    </row>
    <row r="132">
      <c r="A132" s="29" t="n">
        <v>45971</v>
      </c>
      <c r="B132" s="26" t="inlineStr">
        <is>
          <t>452.0</t>
        </is>
      </c>
      <c r="C132" s="2" t="inlineStr">
        <is>
          <t>החלף ריבית</t>
        </is>
      </c>
      <c r="D132" s="2" t="inlineStr"/>
      <c r="E132" s="26" t="inlineStr">
        <is>
          <t>791324.0</t>
        </is>
      </c>
      <c r="F132" s="26" t="inlineStr">
        <is>
          <t>20.0</t>
        </is>
      </c>
      <c r="G132" s="21" t="n">
        <v>335659.51</v>
      </c>
      <c r="I132" s="21" t="n">
        <v>9552.059999999999</v>
      </c>
      <c r="L132" s="15">
        <f>A131-A132</f>
        <v/>
      </c>
      <c r="M132" s="20">
        <f>IF(AND(L132&gt;0,I132&lt;0),I132/365*L132*$M$3,"")</f>
        <v/>
      </c>
    </row>
    <row r="133">
      <c r="A133" s="29" t="n">
        <v>45971</v>
      </c>
      <c r="B133" s="26" t="inlineStr">
        <is>
          <t>142.0</t>
        </is>
      </c>
      <c r="C133" s="2" t="inlineStr">
        <is>
          <t>החלף ריבית</t>
        </is>
      </c>
      <c r="D133" s="2" t="inlineStr"/>
      <c r="E133" s="26" t="inlineStr">
        <is>
          <t>790765.0</t>
        </is>
      </c>
      <c r="F133" s="26" t="inlineStr">
        <is>
          <t>20.0</t>
        </is>
      </c>
      <c r="H133" s="21" t="n">
        <v>345211.57</v>
      </c>
      <c r="I133" s="21" t="n">
        <v>345211.57</v>
      </c>
      <c r="L133" s="15">
        <f>A132-A133</f>
        <v/>
      </c>
      <c r="M133" s="20">
        <f>IF(AND(L133&gt;0,I133&lt;0),I133/365*L133*$M$3,"")</f>
        <v/>
      </c>
    </row>
    <row r="134">
      <c r="A134" s="29" t="n">
        <v>45967</v>
      </c>
      <c r="B134" s="26" t="inlineStr">
        <is>
          <t>469.0</t>
        </is>
      </c>
      <c r="C134" s="2" t="inlineStr">
        <is>
          <t>הוראת-קבע</t>
        </is>
      </c>
      <c r="D134" s="2" t="inlineStr"/>
      <c r="E134" s="26" t="inlineStr">
        <is>
          <t>600672577.0</t>
        </is>
      </c>
      <c r="F134" s="26" t="inlineStr">
        <is>
          <t>33333.0</t>
        </is>
      </c>
      <c r="G134" s="21" t="n">
        <v>39846.58</v>
      </c>
      <c r="L134" s="15">
        <f>A133-A134</f>
        <v/>
      </c>
      <c r="M134" s="20">
        <f>IF(AND(L134&gt;0,I134&lt;0),I134/365*L134*$M$3,"")</f>
        <v/>
      </c>
    </row>
    <row r="135">
      <c r="A135" s="29" t="n">
        <v>45967</v>
      </c>
      <c r="B135" s="26" t="inlineStr">
        <is>
          <t>452.0</t>
        </is>
      </c>
      <c r="C135" s="2" t="inlineStr">
        <is>
          <t>החלף ריבית</t>
        </is>
      </c>
      <c r="D135" s="2" t="inlineStr"/>
      <c r="E135" s="26" t="inlineStr">
        <is>
          <t>820491.0</t>
        </is>
      </c>
      <c r="F135" s="26" t="inlineStr">
        <is>
          <t>20.0</t>
        </is>
      </c>
      <c r="G135" s="21" t="n">
        <v>1138289.53</v>
      </c>
      <c r="I135" s="21" t="n">
        <v>39846.58</v>
      </c>
      <c r="L135" s="15">
        <f>A134-A135</f>
        <v/>
      </c>
      <c r="M135" s="20">
        <f>IF(AND(L135&gt;0,I135&lt;0),I135/365*L135*$M$3,"")</f>
        <v/>
      </c>
    </row>
    <row r="136">
      <c r="A136" s="29" t="n">
        <v>45967</v>
      </c>
      <c r="B136" s="26" t="inlineStr">
        <is>
          <t>452.0</t>
        </is>
      </c>
      <c r="C136" s="2" t="inlineStr">
        <is>
          <t>החלף ריבית</t>
        </is>
      </c>
      <c r="D136" s="2" t="inlineStr"/>
      <c r="E136" s="26" t="inlineStr">
        <is>
          <t>791578.0</t>
        </is>
      </c>
      <c r="F136" s="26" t="inlineStr">
        <is>
          <t>20.0</t>
        </is>
      </c>
      <c r="G136" s="21" t="n">
        <v>965666.5600000001</v>
      </c>
      <c r="I136" s="21" t="n">
        <v>1178136.11</v>
      </c>
      <c r="L136" s="15">
        <f>A135-A136</f>
        <v/>
      </c>
      <c r="M136" s="20">
        <f>IF(AND(L136&gt;0,I136&lt;0),I136/365*L136*$M$3,"")</f>
        <v/>
      </c>
    </row>
    <row r="137">
      <c r="A137" s="29" t="n">
        <v>45967</v>
      </c>
      <c r="B137" s="26" t="inlineStr">
        <is>
          <t>142.0</t>
        </is>
      </c>
      <c r="C137" s="2" t="inlineStr">
        <is>
          <t>החלף ריבית</t>
        </is>
      </c>
      <c r="D137" s="2" t="inlineStr"/>
      <c r="E137" s="26" t="inlineStr">
        <is>
          <t>820904.0</t>
        </is>
      </c>
      <c r="F137" s="26" t="inlineStr">
        <is>
          <t>20.0</t>
        </is>
      </c>
      <c r="H137" s="21" t="n">
        <v>1138289.53</v>
      </c>
      <c r="I137" s="21" t="n">
        <v>2143802.67</v>
      </c>
      <c r="L137" s="15">
        <f>A136-A137</f>
        <v/>
      </c>
      <c r="M137" s="20">
        <f>IF(AND(L137&gt;0,I137&lt;0),I137/365*L137*$M$3,"")</f>
        <v/>
      </c>
    </row>
    <row r="138">
      <c r="A138" s="29" t="n">
        <v>45967</v>
      </c>
      <c r="B138" s="26" t="inlineStr">
        <is>
          <t>142.0</t>
        </is>
      </c>
      <c r="C138" s="2" t="inlineStr">
        <is>
          <t>החלף ריבית</t>
        </is>
      </c>
      <c r="D138" s="2" t="inlineStr"/>
      <c r="E138" s="26" t="inlineStr">
        <is>
          <t>789680.0</t>
        </is>
      </c>
      <c r="F138" s="26" t="inlineStr">
        <is>
          <t>20.0</t>
        </is>
      </c>
      <c r="H138" s="21" t="n">
        <v>1005513.14</v>
      </c>
      <c r="I138" s="21" t="n">
        <v>1005513.14</v>
      </c>
      <c r="L138" s="15">
        <f>A137-A138</f>
        <v/>
      </c>
      <c r="M138" s="20">
        <f>IF(AND(L138&gt;0,I138&lt;0),I138/365*L138*$M$3,"")</f>
        <v/>
      </c>
    </row>
    <row r="139">
      <c r="A139" s="29" t="n">
        <v>45966</v>
      </c>
      <c r="B139" s="26" t="inlineStr">
        <is>
          <t>469.0</t>
        </is>
      </c>
      <c r="C139" s="2" t="inlineStr">
        <is>
          <t>הוראת-קבע</t>
        </is>
      </c>
      <c r="D139" s="2" t="inlineStr"/>
      <c r="E139" s="26" t="inlineStr">
        <is>
          <t>600672577.0</t>
        </is>
      </c>
      <c r="F139" s="26" t="inlineStr">
        <is>
          <t>33333.0</t>
        </is>
      </c>
      <c r="G139" s="21" t="n">
        <v>397784.69</v>
      </c>
      <c r="L139" s="15">
        <f>A138-A139</f>
        <v/>
      </c>
      <c r="M139" s="20">
        <f>IF(AND(L139&gt;0,I139&lt;0),I139/365*L139*$M$3,"")</f>
        <v/>
      </c>
    </row>
    <row r="140">
      <c r="A140" s="29" t="n">
        <v>45966</v>
      </c>
      <c r="B140" s="26" t="inlineStr">
        <is>
          <t>452.0</t>
        </is>
      </c>
      <c r="C140" s="2" t="inlineStr">
        <is>
          <t>ספוט שקל</t>
        </is>
      </c>
      <c r="D140" s="2" t="inlineStr"/>
      <c r="E140" s="26" t="inlineStr">
        <is>
          <t>4430256.0</t>
        </is>
      </c>
      <c r="F140" s="26" t="inlineStr">
        <is>
          <t>4.0</t>
        </is>
      </c>
      <c r="G140" s="21" t="n">
        <v>576881896.5</v>
      </c>
      <c r="I140" s="21" t="n">
        <v>397784.69</v>
      </c>
      <c r="L140" s="15">
        <f>A139-A140</f>
        <v/>
      </c>
      <c r="M140" s="20">
        <f>IF(AND(L140&gt;0,I140&lt;0),I140/365*L140*$M$3,"")</f>
        <v/>
      </c>
    </row>
    <row r="141">
      <c r="A141" s="29" t="n">
        <v>45966</v>
      </c>
      <c r="B141" s="26" t="inlineStr">
        <is>
          <t>142.0</t>
        </is>
      </c>
      <c r="C141" s="2" t="inlineStr">
        <is>
          <t>פורוורד שקל</t>
        </is>
      </c>
      <c r="D141" s="2" t="inlineStr"/>
      <c r="E141" s="26" t="inlineStr">
        <is>
          <t>4421618.0</t>
        </is>
      </c>
      <c r="F141" s="26" t="inlineStr">
        <is>
          <t>6.0</t>
        </is>
      </c>
      <c r="H141" s="21" t="n">
        <v>576912959.37</v>
      </c>
      <c r="I141" s="21" t="n">
        <v>577279681.1900001</v>
      </c>
      <c r="L141" s="15">
        <f>A140-A141</f>
        <v/>
      </c>
      <c r="M141" s="20">
        <f>IF(AND(L141&gt;0,I141&lt;0),I141/365*L141*$M$3,"")</f>
        <v/>
      </c>
    </row>
    <row r="142">
      <c r="A142" s="29" t="n">
        <v>45966</v>
      </c>
      <c r="B142" s="26" t="inlineStr">
        <is>
          <t>256.0</t>
        </is>
      </c>
      <c r="C142" s="2" t="inlineStr">
        <is>
          <t>החזר ריבית (תאריך ערך: 03/10)</t>
        </is>
      </c>
      <c r="D142" s="2" t="inlineStr"/>
      <c r="E142" s="26" t="inlineStr">
        <is>
          <t>1873090016.0</t>
        </is>
      </c>
      <c r="F142" s="26" t="inlineStr">
        <is>
          <t>1.0</t>
        </is>
      </c>
      <c r="H142" s="21" t="n">
        <v>366721.82</v>
      </c>
      <c r="I142" s="21" t="n">
        <v>366721.82</v>
      </c>
      <c r="L142" s="15">
        <f>A141-A142</f>
        <v/>
      </c>
      <c r="M142" s="20">
        <f>IF(AND(L142&gt;0,I142&lt;0),I142/365*L142*$M$3,"")</f>
        <v/>
      </c>
    </row>
    <row r="143">
      <c r="A143" s="29" t="n">
        <v>45965</v>
      </c>
      <c r="B143" s="26" t="inlineStr">
        <is>
          <t>469.0</t>
        </is>
      </c>
      <c r="C143" s="2" t="inlineStr">
        <is>
          <t>הוראת-קבע</t>
        </is>
      </c>
      <c r="D143" s="2" t="inlineStr"/>
      <c r="E143" s="26" t="inlineStr">
        <is>
          <t>600672577.0</t>
        </is>
      </c>
      <c r="F143" s="26" t="inlineStr">
        <is>
          <t>33333.0</t>
        </is>
      </c>
      <c r="G143" s="21" t="n">
        <v>3096885.12</v>
      </c>
      <c r="L143" s="15">
        <f>A142-A143</f>
        <v/>
      </c>
      <c r="M143" s="20">
        <f>IF(AND(L143&gt;0,I143&lt;0),I143/365*L143*$M$3,"")</f>
        <v/>
      </c>
    </row>
    <row r="144">
      <c r="A144" s="29" t="n">
        <v>45965</v>
      </c>
      <c r="B144" s="26" t="inlineStr">
        <is>
          <t>452.0</t>
        </is>
      </c>
      <c r="C144" s="2" t="inlineStr">
        <is>
          <t>ספוט שקל</t>
        </is>
      </c>
      <c r="D144" s="2" t="inlineStr"/>
      <c r="E144" s="26" t="inlineStr">
        <is>
          <t>4427969.0</t>
        </is>
      </c>
      <c r="F144" s="26" t="inlineStr">
        <is>
          <t>4.0</t>
        </is>
      </c>
      <c r="G144" s="21" t="n">
        <v>12664973.38</v>
      </c>
      <c r="I144" s="21" t="n">
        <v>3096885.12</v>
      </c>
      <c r="L144" s="15">
        <f>A143-A144</f>
        <v/>
      </c>
      <c r="M144" s="20">
        <f>IF(AND(L144&gt;0,I144&lt;0),I144/365*L144*$M$3,"")</f>
        <v/>
      </c>
    </row>
    <row r="145">
      <c r="A145" s="29" t="n">
        <v>45965</v>
      </c>
      <c r="B145" s="26" t="inlineStr">
        <is>
          <t>142.0</t>
        </is>
      </c>
      <c r="C145" s="2" t="inlineStr">
        <is>
          <t>המרה</t>
        </is>
      </c>
      <c r="D145" s="2" t="inlineStr"/>
      <c r="E145" s="26" t="inlineStr">
        <is>
          <t>4435118.0</t>
        </is>
      </c>
      <c r="F145" s="26" t="inlineStr">
        <is>
          <t>1.0</t>
        </is>
      </c>
      <c r="H145" s="21" t="n">
        <v>16535001.04</v>
      </c>
      <c r="I145" s="21" t="n">
        <v>15761858.5</v>
      </c>
      <c r="L145" s="15">
        <f>A144-A145</f>
        <v/>
      </c>
      <c r="M145" s="20">
        <f>IF(AND(L145&gt;0,I145&lt;0),I145/365*L145*$M$3,"")</f>
        <v/>
      </c>
    </row>
    <row r="146">
      <c r="A146" s="29" t="n">
        <v>45964</v>
      </c>
      <c r="B146" s="26" t="inlineStr">
        <is>
          <t>452.0</t>
        </is>
      </c>
      <c r="C146" s="2" t="inlineStr">
        <is>
          <t>החלף ריבית</t>
        </is>
      </c>
      <c r="D146" s="2" t="inlineStr"/>
      <c r="E146" s="26" t="inlineStr">
        <is>
          <t>788311.0</t>
        </is>
      </c>
      <c r="F146" s="26" t="inlineStr">
        <is>
          <t>20.0</t>
        </is>
      </c>
      <c r="G146" s="21" t="n">
        <v>664280.6800000001</v>
      </c>
      <c r="I146" s="21" t="n">
        <v>-773142.54</v>
      </c>
      <c r="L146" s="15">
        <f>A145-A146</f>
        <v/>
      </c>
      <c r="M146" s="20">
        <f>IF(AND(L146&gt;0,I146&lt;0),I146/365*L146*$M$3,"")</f>
        <v/>
      </c>
    </row>
    <row r="147">
      <c r="A147" s="29" t="n">
        <v>45964</v>
      </c>
      <c r="B147" s="26" t="inlineStr">
        <is>
          <t>452.0</t>
        </is>
      </c>
      <c r="C147" s="2" t="inlineStr">
        <is>
          <t>החלף מטבע</t>
        </is>
      </c>
      <c r="D147" s="2" t="inlineStr"/>
      <c r="E147" s="26" t="inlineStr">
        <is>
          <t>767693.0</t>
        </is>
      </c>
      <c r="F147" s="26" t="inlineStr">
        <is>
          <t>22.0</t>
        </is>
      </c>
      <c r="G147" s="21" t="n">
        <v>108861.86</v>
      </c>
      <c r="I147" s="21" t="n">
        <v>-108861.86</v>
      </c>
      <c r="L147" s="15">
        <f>A146-A147</f>
        <v/>
      </c>
      <c r="M147" s="20">
        <f>IF(AND(L147&gt;0,I147&lt;0),I147/365*L147*$M$3,"")</f>
        <v/>
      </c>
    </row>
    <row r="148">
      <c r="A148" s="29" t="n">
        <v>45961</v>
      </c>
      <c r="B148" s="26" t="inlineStr">
        <is>
          <t>469.0</t>
        </is>
      </c>
      <c r="C148" s="2" t="inlineStr">
        <is>
          <t>הוראת-קבע</t>
        </is>
      </c>
      <c r="D148" s="2" t="inlineStr"/>
      <c r="E148" s="26" t="inlineStr">
        <is>
          <t>600672577.0</t>
        </is>
      </c>
      <c r="F148" s="26" t="inlineStr">
        <is>
          <t>33333.0</t>
        </is>
      </c>
      <c r="G148" s="21" t="n">
        <v>12664271.98</v>
      </c>
      <c r="L148" s="15">
        <f>A147-A148</f>
        <v/>
      </c>
      <c r="M148" s="20">
        <f>IF(AND(L148&gt;0,I148&lt;0),I148/365*L148*$M$3,"")</f>
        <v/>
      </c>
    </row>
    <row r="149">
      <c r="A149" s="29" t="n">
        <v>45961</v>
      </c>
      <c r="B149" s="26" t="inlineStr">
        <is>
          <t>142.0</t>
        </is>
      </c>
      <c r="C149" s="2" t="inlineStr">
        <is>
          <t>המרה</t>
        </is>
      </c>
      <c r="D149" s="2" t="inlineStr"/>
      <c r="E149" s="26" t="inlineStr">
        <is>
          <t>4427968.0</t>
        </is>
      </c>
      <c r="F149" s="26" t="inlineStr">
        <is>
          <t>1.0</t>
        </is>
      </c>
      <c r="H149" s="21" t="n">
        <v>12664271.98</v>
      </c>
      <c r="I149" s="21" t="n">
        <v>12664271.98</v>
      </c>
      <c r="L149" s="15">
        <f>A148-A149</f>
        <v/>
      </c>
      <c r="M149" s="20">
        <f>IF(AND(L149&gt;0,I149&lt;0),I149/365*L149*$M$3,"")</f>
        <v/>
      </c>
    </row>
    <row r="150">
      <c r="A150" s="29" t="n">
        <v>45960</v>
      </c>
      <c r="B150" s="26" t="inlineStr">
        <is>
          <t>452.0</t>
        </is>
      </c>
      <c r="C150" s="2" t="inlineStr">
        <is>
          <t>החלף ריבית</t>
        </is>
      </c>
      <c r="D150" s="2" t="inlineStr"/>
      <c r="E150" s="26" t="inlineStr">
        <is>
          <t>773738.0</t>
        </is>
      </c>
      <c r="F150" s="26" t="inlineStr">
        <is>
          <t>20.0</t>
        </is>
      </c>
      <c r="G150" s="21" t="n">
        <v>5610454.52</v>
      </c>
      <c r="L150" s="15">
        <f>A149-A150</f>
        <v/>
      </c>
      <c r="M150" s="20">
        <f>IF(AND(L150&gt;0,I150&lt;0),I150/365*L150*$M$3,"")</f>
        <v/>
      </c>
    </row>
    <row r="151">
      <c r="A151" s="29" t="n">
        <v>45960</v>
      </c>
      <c r="B151" s="26" t="inlineStr">
        <is>
          <t>452.0</t>
        </is>
      </c>
      <c r="C151" s="2" t="inlineStr">
        <is>
          <t>החלף מטבע</t>
        </is>
      </c>
      <c r="D151" s="2" t="inlineStr"/>
      <c r="E151" s="26" t="inlineStr">
        <is>
          <t>767693.0</t>
        </is>
      </c>
      <c r="F151" s="26" t="inlineStr">
        <is>
          <t>22.0</t>
        </is>
      </c>
      <c r="G151" s="21" t="n">
        <v>13950000</v>
      </c>
      <c r="I151" s="21" t="n">
        <v>5610454.52</v>
      </c>
      <c r="L151" s="15">
        <f>A150-A151</f>
        <v/>
      </c>
      <c r="M151" s="20">
        <f>IF(AND(L151&gt;0,I151&lt;0),I151/365*L151*$M$3,"")</f>
        <v/>
      </c>
    </row>
    <row r="152">
      <c r="A152" s="29" t="n">
        <v>45960</v>
      </c>
      <c r="B152" s="26" t="inlineStr">
        <is>
          <t>142.0</t>
        </is>
      </c>
      <c r="C152" s="2" t="inlineStr">
        <is>
          <t>החלף ריבית</t>
        </is>
      </c>
      <c r="D152" s="2" t="inlineStr"/>
      <c r="E152" s="26" t="inlineStr">
        <is>
          <t>812247.0</t>
        </is>
      </c>
      <c r="F152" s="26" t="inlineStr">
        <is>
          <t>20.0</t>
        </is>
      </c>
      <c r="H152" s="21" t="n">
        <v>6299073.15</v>
      </c>
      <c r="I152" s="21" t="n">
        <v>19560454.52</v>
      </c>
      <c r="L152" s="15">
        <f>A151-A152</f>
        <v/>
      </c>
      <c r="M152" s="20">
        <f>IF(AND(L152&gt;0,I152&lt;0),I152/365*L152*$M$3,"")</f>
        <v/>
      </c>
    </row>
    <row r="153">
      <c r="A153" s="29" t="n">
        <v>45960</v>
      </c>
      <c r="B153" s="26" t="inlineStr">
        <is>
          <t>469.0</t>
        </is>
      </c>
      <c r="C153" s="2" t="inlineStr">
        <is>
          <t>הוראת-קבע</t>
        </is>
      </c>
      <c r="D153" s="2" t="inlineStr"/>
      <c r="E153" s="26" t="inlineStr">
        <is>
          <t>600672577.0</t>
        </is>
      </c>
      <c r="F153" s="26" t="inlineStr">
        <is>
          <t>33333.0</t>
        </is>
      </c>
      <c r="G153" s="21" t="n">
        <v>-13261381.37</v>
      </c>
      <c r="I153" s="21" t="n">
        <v>13261381.37</v>
      </c>
      <c r="L153" s="15">
        <f>A152-A153</f>
        <v/>
      </c>
      <c r="M153" s="20">
        <f>IF(AND(L153&gt;0,I153&lt;0),I153/365*L153*$M$3,"")</f>
        <v/>
      </c>
    </row>
    <row r="154">
      <c r="A154" s="29" t="n">
        <v>45959</v>
      </c>
      <c r="B154" s="26" t="inlineStr">
        <is>
          <t>469.0</t>
        </is>
      </c>
      <c r="C154" s="2" t="inlineStr">
        <is>
          <t>הוראת-קבע</t>
        </is>
      </c>
      <c r="D154" s="2" t="inlineStr"/>
      <c r="E154" s="26" t="inlineStr">
        <is>
          <t>600672577.0</t>
        </is>
      </c>
      <c r="F154" s="26" t="inlineStr">
        <is>
          <t>33333.0</t>
        </is>
      </c>
      <c r="G154" s="21" t="n">
        <v>3315812.98</v>
      </c>
      <c r="L154" s="15">
        <f>A153-A154</f>
        <v/>
      </c>
      <c r="M154" s="20">
        <f>IF(AND(L154&gt;0,I154&lt;0),I154/365*L154*$M$3,"")</f>
        <v/>
      </c>
    </row>
    <row r="155">
      <c r="A155" s="29" t="n">
        <v>45959</v>
      </c>
      <c r="B155" s="26" t="inlineStr">
        <is>
          <t>452.0</t>
        </is>
      </c>
      <c r="C155" s="2" t="inlineStr">
        <is>
          <t>רכישה</t>
        </is>
      </c>
      <c r="D155" s="2" t="inlineStr"/>
      <c r="E155" s="26" t="inlineStr">
        <is>
          <t>4421617.0</t>
        </is>
      </c>
      <c r="F155" s="26" t="inlineStr">
        <is>
          <t>2.0</t>
        </is>
      </c>
      <c r="G155" s="21" t="n">
        <v>576881896.5</v>
      </c>
      <c r="I155" s="21" t="n">
        <v>3315812.98</v>
      </c>
      <c r="L155" s="15">
        <f>A154-A155</f>
        <v/>
      </c>
      <c r="M155" s="20">
        <f>IF(AND(L155&gt;0,I155&lt;0),I155/365*L155*$M$3,"")</f>
        <v/>
      </c>
    </row>
    <row r="156">
      <c r="A156" s="29" t="n">
        <v>45959</v>
      </c>
      <c r="B156" s="26" t="inlineStr">
        <is>
          <t>142.0</t>
        </is>
      </c>
      <c r="C156" s="2" t="inlineStr">
        <is>
          <t>ספוט שקל</t>
        </is>
      </c>
      <c r="D156" s="2" t="inlineStr"/>
      <c r="E156" s="26" t="inlineStr">
        <is>
          <t>4418769.0</t>
        </is>
      </c>
      <c r="F156" s="26" t="inlineStr">
        <is>
          <t>4.0</t>
        </is>
      </c>
      <c r="H156" s="21" t="n">
        <v>580197709.48</v>
      </c>
      <c r="I156" s="21" t="n">
        <v>580197709.48</v>
      </c>
      <c r="L156" s="15">
        <f>A155-A156</f>
        <v/>
      </c>
      <c r="M156" s="20">
        <f>IF(AND(L156&gt;0,I156&lt;0),I156/365*L156*$M$3,"")</f>
        <v/>
      </c>
    </row>
    <row r="157">
      <c r="A157" s="29" t="n">
        <v>45958</v>
      </c>
      <c r="B157" s="26" t="inlineStr">
        <is>
          <t>469.0</t>
        </is>
      </c>
      <c r="C157" s="2" t="inlineStr">
        <is>
          <t>הוראת-קבע</t>
        </is>
      </c>
      <c r="D157" s="2" t="inlineStr"/>
      <c r="E157" s="26" t="inlineStr">
        <is>
          <t>600672577.0</t>
        </is>
      </c>
      <c r="F157" s="26" t="inlineStr">
        <is>
          <t>33333.0</t>
        </is>
      </c>
      <c r="G157" s="21" t="n">
        <v>1749653.02</v>
      </c>
      <c r="L157" s="15">
        <f>A156-A157</f>
        <v/>
      </c>
      <c r="M157" s="20">
        <f>IF(AND(L157&gt;0,I157&lt;0),I157/365*L157*$M$3,"")</f>
        <v/>
      </c>
    </row>
    <row r="158">
      <c r="A158" s="29" t="n">
        <v>45958</v>
      </c>
      <c r="B158" s="26" t="inlineStr">
        <is>
          <t>452.0</t>
        </is>
      </c>
      <c r="C158" s="2" t="inlineStr">
        <is>
          <t>רכישה</t>
        </is>
      </c>
      <c r="D158" s="2" t="inlineStr"/>
      <c r="E158" s="26" t="inlineStr">
        <is>
          <t>4418768.0</t>
        </is>
      </c>
      <c r="F158" s="26" t="inlineStr">
        <is>
          <t>2.0</t>
        </is>
      </c>
      <c r="G158" s="21" t="n">
        <v>580194154.37</v>
      </c>
      <c r="I158" s="21" t="n">
        <v>1749653.02</v>
      </c>
      <c r="L158" s="15">
        <f>A157-A158</f>
        <v/>
      </c>
      <c r="M158" s="20">
        <f>IF(AND(L158&gt;0,I158&lt;0),I158/365*L158*$M$3,"")</f>
        <v/>
      </c>
    </row>
    <row r="159">
      <c r="A159" s="29" t="n">
        <v>45958</v>
      </c>
      <c r="B159" s="26" t="inlineStr">
        <is>
          <t>142.0</t>
        </is>
      </c>
      <c r="C159" s="2" t="inlineStr">
        <is>
          <t>החלף ריבית</t>
        </is>
      </c>
      <c r="D159" s="2" t="inlineStr"/>
      <c r="E159" s="26" t="inlineStr">
        <is>
          <t>786412.0</t>
        </is>
      </c>
      <c r="F159" s="26" t="inlineStr">
        <is>
          <t>20.0</t>
        </is>
      </c>
      <c r="H159" s="21" t="n">
        <v>681342.09</v>
      </c>
      <c r="I159" s="21" t="n">
        <v>581943807.39</v>
      </c>
      <c r="L159" s="15">
        <f>A158-A159</f>
        <v/>
      </c>
      <c r="M159" s="20">
        <f>IF(AND(L159&gt;0,I159&lt;0),I159/365*L159*$M$3,"")</f>
        <v/>
      </c>
    </row>
    <row r="160">
      <c r="A160" s="29" t="n">
        <v>45958</v>
      </c>
      <c r="B160" s="26" t="inlineStr">
        <is>
          <t>142.0</t>
        </is>
      </c>
      <c r="C160" s="2" t="inlineStr">
        <is>
          <t>ספוט שקל</t>
        </is>
      </c>
      <c r="D160" s="2" t="inlineStr"/>
      <c r="E160" s="26" t="inlineStr">
        <is>
          <t>4415395.0</t>
        </is>
      </c>
      <c r="F160" s="26" t="inlineStr">
        <is>
          <t>4.0</t>
        </is>
      </c>
      <c r="H160" s="21" t="n">
        <v>581262465.3</v>
      </c>
      <c r="I160" s="21" t="n">
        <v>581262465.3</v>
      </c>
      <c r="L160" s="15">
        <f>A159-A160</f>
        <v/>
      </c>
      <c r="M160" s="20">
        <f>IF(AND(L160&gt;0,I160&lt;0),I160/365*L160*$M$3,"")</f>
        <v/>
      </c>
    </row>
    <row r="161">
      <c r="A161" s="29" t="n">
        <v>45957</v>
      </c>
      <c r="B161" s="26" t="inlineStr">
        <is>
          <t>469.0</t>
        </is>
      </c>
      <c r="C161" s="2" t="inlineStr">
        <is>
          <t>הוראת-קבע</t>
        </is>
      </c>
      <c r="D161" s="2" t="inlineStr"/>
      <c r="E161" s="26" t="inlineStr">
        <is>
          <t>600672577.0</t>
        </is>
      </c>
      <c r="F161" s="26" t="inlineStr">
        <is>
          <t>33333.0</t>
        </is>
      </c>
      <c r="G161" s="21" t="n">
        <v>4584345.26</v>
      </c>
      <c r="L161" s="15">
        <f>A160-A161</f>
        <v/>
      </c>
      <c r="M161" s="20">
        <f>IF(AND(L161&gt;0,I161&lt;0),I161/365*L161*$M$3,"")</f>
        <v/>
      </c>
    </row>
    <row r="162">
      <c r="A162" s="29" t="n">
        <v>45957</v>
      </c>
      <c r="B162" s="26" t="inlineStr">
        <is>
          <t>452.0</t>
        </is>
      </c>
      <c r="C162" s="2" t="inlineStr">
        <is>
          <t>רכישה</t>
        </is>
      </c>
      <c r="D162" s="2" t="inlineStr"/>
      <c r="E162" s="26" t="inlineStr">
        <is>
          <t>4415394.0</t>
        </is>
      </c>
      <c r="F162" s="26" t="inlineStr">
        <is>
          <t>2.0</t>
        </is>
      </c>
      <c r="G162" s="21" t="n">
        <v>581260687.74</v>
      </c>
      <c r="I162" s="21" t="n">
        <v>4584345.26</v>
      </c>
      <c r="L162" s="15">
        <f>A161-A162</f>
        <v/>
      </c>
      <c r="M162" s="20">
        <f>IF(AND(L162&gt;0,I162&lt;0),I162/365*L162*$M$3,"")</f>
        <v/>
      </c>
    </row>
    <row r="163">
      <c r="A163" s="29" t="n">
        <v>45957</v>
      </c>
      <c r="B163" s="26" t="inlineStr">
        <is>
          <t>142.0</t>
        </is>
      </c>
      <c r="C163" s="2" t="inlineStr">
        <is>
          <t>ספוט שקל</t>
        </is>
      </c>
      <c r="D163" s="2" t="inlineStr"/>
      <c r="E163" s="26" t="inlineStr">
        <is>
          <t>4414279.0</t>
        </is>
      </c>
      <c r="F163" s="26" t="inlineStr">
        <is>
          <t>4.0</t>
        </is>
      </c>
      <c r="H163" s="21" t="n">
        <v>585343733</v>
      </c>
      <c r="I163" s="21" t="n">
        <v>585845033</v>
      </c>
      <c r="L163" s="15">
        <f>A162-A163</f>
        <v/>
      </c>
      <c r="M163" s="20">
        <f>IF(AND(L163&gt;0,I163&lt;0),I163/365*L163*$M$3,"")</f>
        <v/>
      </c>
    </row>
    <row r="164">
      <c r="A164" s="29" t="n">
        <v>45957</v>
      </c>
      <c r="B164" s="26" t="inlineStr">
        <is>
          <t>121.0</t>
        </is>
      </c>
      <c r="C164" s="2" t="inlineStr">
        <is>
          <t>ני"ע-תש' ריבית</t>
        </is>
      </c>
      <c r="D164" s="2" t="inlineStr"/>
      <c r="E164" s="26" t="inlineStr">
        <is>
          <t>3230232.0</t>
        </is>
      </c>
      <c r="F164" s="26" t="inlineStr">
        <is>
          <t>9997.0</t>
        </is>
      </c>
      <c r="H164" s="21" t="n">
        <v>234864.6</v>
      </c>
      <c r="I164" s="21" t="n">
        <v>501300</v>
      </c>
      <c r="L164" s="15">
        <f>A163-A164</f>
        <v/>
      </c>
      <c r="M164" s="20">
        <f>IF(AND(L164&gt;0,I164&lt;0),I164/365*L164*$M$3,"")</f>
        <v/>
      </c>
    </row>
    <row r="165">
      <c r="A165" s="29" t="n">
        <v>45957</v>
      </c>
      <c r="B165" s="26" t="inlineStr">
        <is>
          <t>121.0</t>
        </is>
      </c>
      <c r="C165" s="2" t="inlineStr">
        <is>
          <t>ני"ע-פדיון</t>
        </is>
      </c>
      <c r="D165" s="2" t="inlineStr"/>
      <c r="E165" s="26" t="inlineStr">
        <is>
          <t>3230232.0</t>
        </is>
      </c>
      <c r="F165" s="26" t="inlineStr">
        <is>
          <t>9997.0</t>
        </is>
      </c>
      <c r="H165" s="21" t="n">
        <v>266435.4</v>
      </c>
      <c r="I165" s="21" t="n">
        <v>266435.4</v>
      </c>
      <c r="L165" s="15">
        <f>A164-A165</f>
        <v/>
      </c>
      <c r="M165" s="20">
        <f>IF(AND(L165&gt;0,I165&lt;0),I165/365*L165*$M$3,"")</f>
        <v/>
      </c>
    </row>
    <row r="166">
      <c r="A166" s="29" t="n">
        <v>45954</v>
      </c>
      <c r="B166" s="26" t="inlineStr">
        <is>
          <t>469.0</t>
        </is>
      </c>
      <c r="C166" s="2" t="inlineStr">
        <is>
          <t>הוראת-קבע</t>
        </is>
      </c>
      <c r="D166" s="2" t="inlineStr"/>
      <c r="E166" s="26" t="inlineStr">
        <is>
          <t>600672577.0</t>
        </is>
      </c>
      <c r="F166" s="26" t="inlineStr">
        <is>
          <t>33333.0</t>
        </is>
      </c>
      <c r="G166" s="21" t="n">
        <v>2663357.14</v>
      </c>
      <c r="L166" s="15">
        <f>A165-A166</f>
        <v/>
      </c>
      <c r="M166" s="20">
        <f>IF(AND(L166&gt;0,I166&lt;0),I166/365*L166*$M$3,"")</f>
        <v/>
      </c>
    </row>
    <row r="167">
      <c r="A167" s="29" t="n">
        <v>45954</v>
      </c>
      <c r="B167" s="26" t="inlineStr">
        <is>
          <t>452.0</t>
        </is>
      </c>
      <c r="C167" s="2" t="inlineStr">
        <is>
          <t>רכישה</t>
        </is>
      </c>
      <c r="D167" s="2" t="inlineStr"/>
      <c r="E167" s="26" t="inlineStr">
        <is>
          <t>4414278.0</t>
        </is>
      </c>
      <c r="F167" s="26" t="inlineStr">
        <is>
          <t>2.0</t>
        </is>
      </c>
      <c r="G167" s="21" t="n">
        <v>585349065.67</v>
      </c>
      <c r="I167" s="21" t="n">
        <v>2663357.14</v>
      </c>
      <c r="L167" s="15">
        <f>A166-A167</f>
        <v/>
      </c>
      <c r="M167" s="20">
        <f>IF(AND(L167&gt;0,I167&lt;0),I167/365*L167*$M$3,"")</f>
        <v/>
      </c>
    </row>
    <row r="168">
      <c r="A168" s="29" t="n">
        <v>45954</v>
      </c>
      <c r="B168" s="26" t="inlineStr">
        <is>
          <t>142.0</t>
        </is>
      </c>
      <c r="C168" s="2" t="inlineStr">
        <is>
          <t>ספוט שקל</t>
        </is>
      </c>
      <c r="D168" s="2" t="inlineStr"/>
      <c r="E168" s="26" t="inlineStr">
        <is>
          <t>4411183.0</t>
        </is>
      </c>
      <c r="F168" s="26" t="inlineStr">
        <is>
          <t>4.0</t>
        </is>
      </c>
      <c r="H168" s="21" t="n">
        <v>588012422.8099999</v>
      </c>
      <c r="I168" s="21" t="n">
        <v>588012422.8099999</v>
      </c>
      <c r="L168" s="15">
        <f>A167-A168</f>
        <v/>
      </c>
      <c r="M168" s="20">
        <f>IF(AND(L168&gt;0,I168&lt;0),I168/365*L168*$M$3,"")</f>
        <v/>
      </c>
    </row>
    <row r="169">
      <c r="A169" s="29" t="n">
        <v>45953</v>
      </c>
      <c r="B169" s="26" t="inlineStr">
        <is>
          <t>452.0</t>
        </is>
      </c>
      <c r="C169" s="2" t="inlineStr">
        <is>
          <t>רכישה</t>
        </is>
      </c>
      <c r="D169" s="2" t="inlineStr"/>
      <c r="E169" s="26" t="inlineStr">
        <is>
          <t>4411182.0</t>
        </is>
      </c>
      <c r="F169" s="26" t="inlineStr">
        <is>
          <t>2.0</t>
        </is>
      </c>
      <c r="G169" s="21" t="n">
        <v>588015089.55</v>
      </c>
      <c r="L169" s="15">
        <f>A168-A169</f>
        <v/>
      </c>
      <c r="M169" s="20">
        <f>IF(AND(L169&gt;0,I169&lt;0),I169/365*L169*$M$3,"")</f>
        <v/>
      </c>
    </row>
    <row r="170">
      <c r="A170" s="29" t="n">
        <v>45953</v>
      </c>
      <c r="B170" s="26" t="inlineStr">
        <is>
          <t>142.0</t>
        </is>
      </c>
      <c r="C170" s="2" t="inlineStr">
        <is>
          <t>ספוט שקל</t>
        </is>
      </c>
      <c r="D170" s="2" t="inlineStr"/>
      <c r="E170" s="26" t="inlineStr">
        <is>
          <t>4408547.0</t>
        </is>
      </c>
      <c r="F170" s="26" t="inlineStr">
        <is>
          <t>4.0</t>
        </is>
      </c>
      <c r="H170" s="21" t="n">
        <v>231849400</v>
      </c>
      <c r="I170" s="21" t="n">
        <v>588015089.55</v>
      </c>
      <c r="L170" s="15">
        <f>A169-A170</f>
        <v/>
      </c>
      <c r="M170" s="20">
        <f>IF(AND(L170&gt;0,I170&lt;0),I170/365*L170*$M$3,"")</f>
        <v/>
      </c>
    </row>
    <row r="171">
      <c r="A171" s="29" t="n">
        <v>45953</v>
      </c>
      <c r="B171" s="26" t="inlineStr">
        <is>
          <t>469.0</t>
        </is>
      </c>
      <c r="C171" s="2" t="inlineStr">
        <is>
          <t>הוראת-קבע</t>
        </is>
      </c>
      <c r="D171" s="2" t="inlineStr"/>
      <c r="E171" s="26" t="inlineStr">
        <is>
          <t>600672577.0</t>
        </is>
      </c>
      <c r="F171" s="26" t="inlineStr">
        <is>
          <t>33333.0</t>
        </is>
      </c>
      <c r="G171" s="21" t="n">
        <v>-356165689.55</v>
      </c>
      <c r="I171" s="21" t="n">
        <v>356165689.55</v>
      </c>
      <c r="L171" s="15">
        <f>A170-A171</f>
        <v/>
      </c>
      <c r="M171" s="20">
        <f>IF(AND(L171&gt;0,I171&lt;0),I171/365*L171*$M$3,"")</f>
        <v/>
      </c>
    </row>
    <row r="172">
      <c r="A172" s="29" t="n">
        <v>45952</v>
      </c>
      <c r="B172" s="26" t="inlineStr">
        <is>
          <t>469.0</t>
        </is>
      </c>
      <c r="C172" s="2" t="inlineStr">
        <is>
          <t>הוראת-קבע</t>
        </is>
      </c>
      <c r="D172" s="2" t="inlineStr"/>
      <c r="E172" s="26" t="inlineStr">
        <is>
          <t>600672577.0</t>
        </is>
      </c>
      <c r="F172" s="26" t="inlineStr">
        <is>
          <t>33333.0</t>
        </is>
      </c>
      <c r="G172" s="21" t="n">
        <v>353981558.47</v>
      </c>
      <c r="L172" s="15">
        <f>A171-A172</f>
        <v/>
      </c>
      <c r="M172" s="20">
        <f>IF(AND(L172&gt;0,I172&lt;0),I172/365*L172*$M$3,"")</f>
        <v/>
      </c>
    </row>
    <row r="173">
      <c r="A173" s="29" t="n">
        <v>45952</v>
      </c>
      <c r="B173" s="26" t="inlineStr">
        <is>
          <t>452.0</t>
        </is>
      </c>
      <c r="C173" s="2" t="inlineStr">
        <is>
          <t>החלף ריבית</t>
        </is>
      </c>
      <c r="D173" s="2" t="inlineStr"/>
      <c r="E173" s="26" t="inlineStr">
        <is>
          <t>886195.0</t>
        </is>
      </c>
      <c r="F173" s="26" t="inlineStr">
        <is>
          <t>20.0</t>
        </is>
      </c>
      <c r="G173" s="21" t="n">
        <v>81004.19</v>
      </c>
      <c r="I173" s="21" t="n">
        <v>353981558.47</v>
      </c>
      <c r="L173" s="15">
        <f>A172-A173</f>
        <v/>
      </c>
      <c r="M173" s="20">
        <f>IF(AND(L173&gt;0,I173&lt;0),I173/365*L173*$M$3,"")</f>
        <v/>
      </c>
    </row>
    <row r="174">
      <c r="A174" s="29" t="n">
        <v>45952</v>
      </c>
      <c r="B174" s="26" t="inlineStr">
        <is>
          <t>452.0</t>
        </is>
      </c>
      <c r="C174" s="2" t="inlineStr">
        <is>
          <t>רכישה</t>
        </is>
      </c>
      <c r="D174" s="2" t="inlineStr"/>
      <c r="E174" s="26" t="inlineStr">
        <is>
          <t>4408546.0</t>
        </is>
      </c>
      <c r="F174" s="26" t="inlineStr">
        <is>
          <t>2.0</t>
        </is>
      </c>
      <c r="G174" s="21" t="n">
        <v>231851157.5</v>
      </c>
      <c r="I174" s="21" t="n">
        <v>354062562.66</v>
      </c>
      <c r="L174" s="15">
        <f>A173-A174</f>
        <v/>
      </c>
      <c r="M174" s="20">
        <f>IF(AND(L174&gt;0,I174&lt;0),I174/365*L174*$M$3,"")</f>
        <v/>
      </c>
    </row>
    <row r="175">
      <c r="A175" s="29" t="n">
        <v>45952</v>
      </c>
      <c r="B175" s="26" t="inlineStr">
        <is>
          <t>142.0</t>
        </is>
      </c>
      <c r="C175" s="2" t="inlineStr">
        <is>
          <t>ספוט שקל</t>
        </is>
      </c>
      <c r="D175" s="2" t="inlineStr"/>
      <c r="E175" s="26" t="inlineStr">
        <is>
          <t>4406070.0</t>
        </is>
      </c>
      <c r="F175" s="26" t="inlineStr">
        <is>
          <t>4.0</t>
        </is>
      </c>
      <c r="H175" s="21" t="n">
        <v>585913720.16</v>
      </c>
      <c r="I175" s="21" t="n">
        <v>585913720.16</v>
      </c>
      <c r="L175" s="15">
        <f>A174-A175</f>
        <v/>
      </c>
      <c r="M175" s="20">
        <f>IF(AND(L175&gt;0,I175&lt;0),I175/365*L175*$M$3,"")</f>
        <v/>
      </c>
    </row>
    <row r="176">
      <c r="A176" s="29" t="n">
        <v>45952</v>
      </c>
      <c r="B176" s="26" t="inlineStr">
        <is>
          <t>302.0</t>
        </is>
      </c>
      <c r="C176" s="2" t="inlineStr">
        <is>
          <t>העברה לעצמי (תאריך ערך: 21/10)</t>
        </is>
      </c>
      <c r="D176" s="2" t="inlineStr"/>
      <c r="E176" s="26" t="inlineStr">
        <is>
          <t>29500149.0</t>
        </is>
      </c>
      <c r="F176" s="26" t="inlineStr">
        <is>
          <t>214.0</t>
        </is>
      </c>
      <c r="G176" s="21" t="n">
        <v>384973604.51</v>
      </c>
      <c r="L176" s="15">
        <f>A175-A176</f>
        <v/>
      </c>
      <c r="M176" s="20">
        <f>IF(AND(L176&gt;0,I176&lt;0),I176/365*L176*$M$3,"")</f>
        <v/>
      </c>
    </row>
    <row r="177">
      <c r="A177" s="29" t="n">
        <v>45952</v>
      </c>
      <c r="B177" s="26" t="inlineStr">
        <is>
          <t>256.0</t>
        </is>
      </c>
      <c r="C177" s="2" t="inlineStr">
        <is>
          <t>העברה (תאריך ערך: 03/10)</t>
        </is>
      </c>
      <c r="D177" s="2" t="inlineStr"/>
      <c r="E177" s="26" t="inlineStr">
        <is>
          <t>29500146.0</t>
        </is>
      </c>
      <c r="F177" s="26" t="inlineStr">
        <is>
          <t>214.0</t>
        </is>
      </c>
      <c r="H177" s="21" t="n">
        <v>384973604.51</v>
      </c>
      <c r="I177" s="21" t="n">
        <v>384973604.51</v>
      </c>
      <c r="L177" s="15">
        <f>A176-A177</f>
        <v/>
      </c>
      <c r="M177" s="20">
        <f>IF(AND(L177&gt;0,I177&lt;0),I177/365*L177*$M$3,"")</f>
        <v/>
      </c>
    </row>
    <row r="178">
      <c r="A178" s="29" t="n">
        <v>45951</v>
      </c>
      <c r="B178" s="26" t="inlineStr">
        <is>
          <t>452.0</t>
        </is>
      </c>
      <c r="C178" s="2" t="inlineStr">
        <is>
          <t>רכישה</t>
        </is>
      </c>
      <c r="D178" s="2" t="inlineStr"/>
      <c r="E178" s="26" t="inlineStr">
        <is>
          <t>4406069.0</t>
        </is>
      </c>
      <c r="F178" s="26" t="inlineStr">
        <is>
          <t>2.0</t>
        </is>
      </c>
      <c r="G178" s="21" t="n">
        <v>585917275.46</v>
      </c>
      <c r="L178" s="15">
        <f>A177-A178</f>
        <v/>
      </c>
      <c r="M178" s="20">
        <f>IF(AND(L178&gt;0,I178&lt;0),I178/365*L178*$M$3,"")</f>
        <v/>
      </c>
    </row>
    <row r="179">
      <c r="A179" s="29" t="n">
        <v>45951</v>
      </c>
      <c r="B179" s="26" t="inlineStr">
        <is>
          <t>142.0</t>
        </is>
      </c>
      <c r="C179" s="2" t="inlineStr">
        <is>
          <t>ספוט שקל</t>
        </is>
      </c>
      <c r="D179" s="2" t="inlineStr"/>
      <c r="E179" s="26" t="inlineStr">
        <is>
          <t>4402768.0</t>
        </is>
      </c>
      <c r="F179" s="26" t="inlineStr">
        <is>
          <t>4.0</t>
        </is>
      </c>
      <c r="H179" s="21" t="n">
        <v>588400650.39</v>
      </c>
      <c r="I179" s="21" t="n">
        <v>585917275.46</v>
      </c>
      <c r="L179" s="15">
        <f>A178-A179</f>
        <v/>
      </c>
      <c r="M179" s="20">
        <f>IF(AND(L179&gt;0,I179&lt;0),I179/365*L179*$M$3,"")</f>
        <v/>
      </c>
    </row>
    <row r="180">
      <c r="A180" s="29" t="n">
        <v>45951</v>
      </c>
      <c r="B180" s="26" t="inlineStr">
        <is>
          <t>121.0</t>
        </is>
      </c>
      <c r="C180" s="2" t="inlineStr">
        <is>
          <t>ני"ע-תש' ריבית</t>
        </is>
      </c>
      <c r="D180" s="2" t="inlineStr"/>
      <c r="E180" s="26" t="inlineStr">
        <is>
          <t>2310498.0</t>
        </is>
      </c>
      <c r="F180" s="26" t="inlineStr">
        <is>
          <t>9997.0</t>
        </is>
      </c>
      <c r="H180" s="21" t="n">
        <v>929.4</v>
      </c>
      <c r="I180" s="21" t="n">
        <v>-2483374.93</v>
      </c>
      <c r="L180" s="15">
        <f>A179-A180</f>
        <v/>
      </c>
      <c r="M180" s="20">
        <f>IF(AND(L180&gt;0,I180&lt;0),I180/365*L180*$M$3,"")</f>
        <v/>
      </c>
    </row>
    <row r="181">
      <c r="A181" s="29" t="n">
        <v>45951</v>
      </c>
      <c r="B181" s="26" t="inlineStr">
        <is>
          <t>469.0</t>
        </is>
      </c>
      <c r="C181" s="2" t="inlineStr">
        <is>
          <t>הוראת-קבע</t>
        </is>
      </c>
      <c r="D181" s="2" t="inlineStr"/>
      <c r="E181" s="26" t="inlineStr">
        <is>
          <t>600672577.0</t>
        </is>
      </c>
      <c r="F181" s="26" t="inlineStr">
        <is>
          <t>33333.0</t>
        </is>
      </c>
      <c r="G181" s="21" t="n">
        <v>-573868200.47</v>
      </c>
      <c r="I181" s="21" t="n">
        <v>-2484304.33</v>
      </c>
      <c r="L181" s="15">
        <f>A180-A181</f>
        <v/>
      </c>
      <c r="M181" s="20">
        <f>IF(AND(L181&gt;0,I181&lt;0),I181/365*L181*$M$3,"")</f>
        <v/>
      </c>
    </row>
    <row r="182">
      <c r="A182" s="29" t="n">
        <v>45950</v>
      </c>
      <c r="B182" s="26" t="inlineStr">
        <is>
          <t>452.0</t>
        </is>
      </c>
      <c r="C182" s="2" t="inlineStr">
        <is>
          <t>החלף ריבית</t>
        </is>
      </c>
      <c r="D182" s="2" t="inlineStr"/>
      <c r="E182" s="26" t="inlineStr">
        <is>
          <t>729497.0</t>
        </is>
      </c>
      <c r="F182" s="26" t="inlineStr">
        <is>
          <t>20.0</t>
        </is>
      </c>
      <c r="G182" s="21" t="n">
        <v>168887.52</v>
      </c>
      <c r="I182" s="21" t="n">
        <v>-576352504.8</v>
      </c>
      <c r="L182" s="15">
        <f>A181-A182</f>
        <v/>
      </c>
      <c r="M182" s="20">
        <f>IF(AND(L182&gt;0,I182&lt;0),I182/365*L182*$M$3,"")</f>
        <v/>
      </c>
    </row>
    <row r="183">
      <c r="A183" s="29" t="n">
        <v>45950</v>
      </c>
      <c r="B183" s="26" t="inlineStr">
        <is>
          <t>452.0</t>
        </is>
      </c>
      <c r="C183" s="2" t="inlineStr">
        <is>
          <t>רכישה</t>
        </is>
      </c>
      <c r="D183" s="2" t="inlineStr"/>
      <c r="E183" s="26" t="inlineStr">
        <is>
          <t>4402767.0</t>
        </is>
      </c>
      <c r="F183" s="26" t="inlineStr">
        <is>
          <t>2.0</t>
        </is>
      </c>
      <c r="G183" s="21" t="n">
        <v>588402428.04</v>
      </c>
      <c r="I183" s="21" t="n">
        <v>-576183617.28</v>
      </c>
      <c r="L183" s="15">
        <f>A182-A183</f>
        <v/>
      </c>
      <c r="M183" s="20">
        <f>IF(AND(L183&gt;0,I183&lt;0),I183/365*L183*$M$3,"")</f>
        <v/>
      </c>
    </row>
    <row r="184">
      <c r="A184" s="29" t="n">
        <v>45950</v>
      </c>
      <c r="B184" s="26" t="inlineStr">
        <is>
          <t>142.0</t>
        </is>
      </c>
      <c r="C184" s="2" t="inlineStr">
        <is>
          <t>החלף ריבית</t>
        </is>
      </c>
      <c r="D184" s="2" t="inlineStr"/>
      <c r="E184" s="26" t="inlineStr">
        <is>
          <t>729917.0</t>
        </is>
      </c>
      <c r="F184" s="26" t="inlineStr">
        <is>
          <t>20.0</t>
        </is>
      </c>
      <c r="H184" s="21" t="n">
        <v>168887.52</v>
      </c>
      <c r="I184" s="21" t="n">
        <v>12218810.76</v>
      </c>
      <c r="L184" s="15">
        <f>A183-A184</f>
        <v/>
      </c>
      <c r="M184" s="20">
        <f>IF(AND(L184&gt;0,I184&lt;0),I184/365*L184*$M$3,"")</f>
        <v/>
      </c>
    </row>
    <row r="185">
      <c r="A185" s="29" t="n">
        <v>45950</v>
      </c>
      <c r="B185" s="26" t="inlineStr">
        <is>
          <t>142.0</t>
        </is>
      </c>
      <c r="C185" s="2" t="inlineStr">
        <is>
          <t>ספוט שקל</t>
        </is>
      </c>
      <c r="D185" s="2" t="inlineStr"/>
      <c r="E185" s="26" t="inlineStr">
        <is>
          <t>4400414.0</t>
        </is>
      </c>
      <c r="F185" s="26" t="inlineStr">
        <is>
          <t>4.0</t>
        </is>
      </c>
      <c r="H185" s="21" t="n">
        <v>426107469.96</v>
      </c>
      <c r="I185" s="21" t="n">
        <v>12049923.24</v>
      </c>
      <c r="L185" s="15">
        <f>A184-A185</f>
        <v/>
      </c>
      <c r="M185" s="20">
        <f>IF(AND(L185&gt;0,I185&lt;0),I185/365*L185*$M$3,"")</f>
        <v/>
      </c>
    </row>
    <row r="186">
      <c r="A186" s="29" t="n">
        <v>45947</v>
      </c>
      <c r="B186" s="26" t="inlineStr">
        <is>
          <t>452.0</t>
        </is>
      </c>
      <c r="C186" s="2" t="inlineStr">
        <is>
          <t>רכישה</t>
        </is>
      </c>
      <c r="D186" s="2" t="inlineStr"/>
      <c r="E186" s="26" t="inlineStr">
        <is>
          <t>4400413.0</t>
        </is>
      </c>
      <c r="F186" s="26" t="inlineStr">
        <is>
          <t>2.0</t>
        </is>
      </c>
      <c r="G186" s="21" t="n">
        <v>426110034.58</v>
      </c>
      <c r="I186" s="21" t="n">
        <v>-414057546.72</v>
      </c>
      <c r="L186" s="15">
        <f>A185-A186</f>
        <v/>
      </c>
      <c r="M186" s="20">
        <f>IF(AND(L186&gt;0,I186&lt;0),I186/365*L186*$M$3,"")</f>
        <v/>
      </c>
    </row>
    <row r="187">
      <c r="A187" s="29" t="n">
        <v>45947</v>
      </c>
      <c r="B187" s="26" t="inlineStr">
        <is>
          <t>142.0</t>
        </is>
      </c>
      <c r="C187" s="2" t="inlineStr">
        <is>
          <t>ספוט שקל</t>
        </is>
      </c>
      <c r="D187" s="2" t="inlineStr"/>
      <c r="E187" s="26" t="inlineStr">
        <is>
          <t>4397840.0</t>
        </is>
      </c>
      <c r="F187" s="26" t="inlineStr">
        <is>
          <t>4.0</t>
        </is>
      </c>
      <c r="H187" s="21" t="n">
        <v>422804859.04</v>
      </c>
      <c r="I187" s="21" t="n">
        <v>12052487.86</v>
      </c>
      <c r="L187" s="15">
        <f>A186-A187</f>
        <v/>
      </c>
      <c r="M187" s="20">
        <f>IF(AND(L187&gt;0,I187&lt;0),I187/365*L187*$M$3,"")</f>
        <v/>
      </c>
    </row>
    <row r="188">
      <c r="A188" s="29" t="n">
        <v>45946</v>
      </c>
      <c r="B188" s="26" t="inlineStr">
        <is>
          <t>452.0</t>
        </is>
      </c>
      <c r="C188" s="2" t="inlineStr">
        <is>
          <t>רכישה</t>
        </is>
      </c>
      <c r="D188" s="2" t="inlineStr"/>
      <c r="E188" s="26" t="inlineStr">
        <is>
          <t>4397839.0</t>
        </is>
      </c>
      <c r="F188" s="26" t="inlineStr">
        <is>
          <t>2.0</t>
        </is>
      </c>
      <c r="G188" s="21" t="n">
        <v>422804859.04</v>
      </c>
      <c r="I188" s="21" t="n">
        <v>-410752371.18</v>
      </c>
      <c r="L188" s="15">
        <f>A187-A188</f>
        <v/>
      </c>
      <c r="M188" s="20">
        <f>IF(AND(L188&gt;0,I188&lt;0),I188/365*L188*$M$3,"")</f>
        <v/>
      </c>
    </row>
    <row r="189">
      <c r="A189" s="29" t="n">
        <v>45946</v>
      </c>
      <c r="B189" s="26" t="inlineStr">
        <is>
          <t>142.0</t>
        </is>
      </c>
      <c r="C189" s="2" t="inlineStr">
        <is>
          <t>ספוט שקל</t>
        </is>
      </c>
      <c r="D189" s="2" t="inlineStr"/>
      <c r="E189" s="26" t="inlineStr">
        <is>
          <t>4394267.0</t>
        </is>
      </c>
      <c r="F189" s="26" t="inlineStr">
        <is>
          <t>4.0</t>
        </is>
      </c>
      <c r="H189" s="21" t="n">
        <v>417070107.29</v>
      </c>
      <c r="I189" s="21" t="n">
        <v>12052487.86</v>
      </c>
      <c r="L189" s="15">
        <f>A188-A189</f>
        <v/>
      </c>
      <c r="M189" s="20">
        <f>IF(AND(L189&gt;0,I189&lt;0),I189/365*L189*$M$3,"")</f>
        <v/>
      </c>
    </row>
    <row r="190">
      <c r="A190" s="29" t="n">
        <v>45945</v>
      </c>
      <c r="B190" s="26" t="inlineStr">
        <is>
          <t>452.0</t>
        </is>
      </c>
      <c r="C190" s="2" t="inlineStr">
        <is>
          <t>החלף ריבית</t>
        </is>
      </c>
      <c r="D190" s="2" t="inlineStr"/>
      <c r="E190" s="26" t="inlineStr">
        <is>
          <t>731044.0</t>
        </is>
      </c>
      <c r="F190" s="26" t="inlineStr">
        <is>
          <t>20.0</t>
        </is>
      </c>
      <c r="G190" s="21" t="n">
        <v>569146.03</v>
      </c>
      <c r="I190" s="21" t="n">
        <v>-405017619.43</v>
      </c>
      <c r="L190" s="15">
        <f>A189-A190</f>
        <v/>
      </c>
      <c r="M190" s="20">
        <f>IF(AND(L190&gt;0,I190&lt;0),I190/365*L190*$M$3,"")</f>
        <v/>
      </c>
    </row>
    <row r="191">
      <c r="A191" s="29" t="n">
        <v>45945</v>
      </c>
      <c r="B191" s="26" t="inlineStr">
        <is>
          <t>452.0</t>
        </is>
      </c>
      <c r="C191" s="2" t="inlineStr">
        <is>
          <t>רכישה</t>
        </is>
      </c>
      <c r="D191" s="2" t="inlineStr"/>
      <c r="E191" s="26" t="inlineStr">
        <is>
          <t>4394266.0</t>
        </is>
      </c>
      <c r="F191" s="26" t="inlineStr">
        <is>
          <t>2.0</t>
        </is>
      </c>
      <c r="G191" s="21" t="n">
        <v>417071374.22</v>
      </c>
      <c r="I191" s="21" t="n">
        <v>-404448473.4</v>
      </c>
      <c r="L191" s="15">
        <f>A190-A191</f>
        <v/>
      </c>
      <c r="M191" s="20">
        <f>IF(AND(L191&gt;0,I191&lt;0),I191/365*L191*$M$3,"")</f>
        <v/>
      </c>
    </row>
    <row r="192">
      <c r="A192" s="29" t="n">
        <v>45945</v>
      </c>
      <c r="B192" s="26" t="inlineStr">
        <is>
          <t>142.0</t>
        </is>
      </c>
      <c r="C192" s="2" t="inlineStr">
        <is>
          <t>החלף ריבית</t>
        </is>
      </c>
      <c r="D192" s="2" t="inlineStr"/>
      <c r="E192" s="26" t="inlineStr">
        <is>
          <t>734450.0</t>
        </is>
      </c>
      <c r="F192" s="26" t="inlineStr">
        <is>
          <t>20.0</t>
        </is>
      </c>
      <c r="H192" s="21" t="n">
        <v>569146.03</v>
      </c>
      <c r="I192" s="21" t="n">
        <v>12622900.82</v>
      </c>
      <c r="L192" s="15">
        <f>A191-A192</f>
        <v/>
      </c>
      <c r="M192" s="20">
        <f>IF(AND(L192&gt;0,I192&lt;0),I192/365*L192*$M$3,"")</f>
        <v/>
      </c>
    </row>
    <row r="193">
      <c r="A193" s="29" t="n">
        <v>45945</v>
      </c>
      <c r="B193" s="26" t="inlineStr">
        <is>
          <t>142.0</t>
        </is>
      </c>
      <c r="C193" s="2" t="inlineStr">
        <is>
          <t>ספוט שקל</t>
        </is>
      </c>
      <c r="D193" s="2" t="inlineStr"/>
      <c r="E193" s="26" t="inlineStr">
        <is>
          <t>4386903.0</t>
        </is>
      </c>
      <c r="F193" s="26" t="inlineStr">
        <is>
          <t>4.0</t>
        </is>
      </c>
      <c r="H193" s="21" t="n">
        <v>415281805.27</v>
      </c>
      <c r="I193" s="21" t="n">
        <v>12053754.79</v>
      </c>
      <c r="L193" s="15">
        <f>A192-A193</f>
        <v/>
      </c>
      <c r="M193" s="20">
        <f>IF(AND(L193&gt;0,I193&lt;0),I193/365*L193*$M$3,"")</f>
        <v/>
      </c>
    </row>
    <row r="194">
      <c r="A194" s="29" t="n">
        <v>45943</v>
      </c>
      <c r="B194" s="26" t="inlineStr">
        <is>
          <t>142.0</t>
        </is>
      </c>
      <c r="C194" s="2" t="inlineStr">
        <is>
          <t>החלף מטבע</t>
        </is>
      </c>
      <c r="D194" s="2" t="inlineStr"/>
      <c r="E194" s="26" t="inlineStr">
        <is>
          <t>895195.0</t>
        </is>
      </c>
      <c r="F194" s="26" t="inlineStr">
        <is>
          <t>20.0</t>
        </is>
      </c>
      <c r="H194" s="21" t="n">
        <v>151157.22</v>
      </c>
      <c r="I194" s="21" t="n">
        <v>-403228050.48</v>
      </c>
      <c r="L194" s="15">
        <f>A193-A194</f>
        <v/>
      </c>
      <c r="M194" s="20">
        <f>IF(AND(L194&gt;0,I194&lt;0),I194/365*L194*$M$3,"")</f>
        <v/>
      </c>
    </row>
    <row r="195">
      <c r="A195" s="29" t="n">
        <v>45940</v>
      </c>
      <c r="B195" s="26" t="inlineStr">
        <is>
          <t>452.0</t>
        </is>
      </c>
      <c r="C195" s="2" t="inlineStr">
        <is>
          <t>החלף מטבע</t>
        </is>
      </c>
      <c r="D195" s="2" t="inlineStr"/>
      <c r="E195" s="26" t="inlineStr">
        <is>
          <t>839502.0</t>
        </is>
      </c>
      <c r="F195" s="26" t="inlineStr">
        <is>
          <t>22.0</t>
        </is>
      </c>
      <c r="G195" s="21" t="n">
        <v>2114544.32</v>
      </c>
      <c r="I195" s="21" t="n">
        <v>-403379207.7</v>
      </c>
      <c r="L195" s="15">
        <f>A194-A195</f>
        <v/>
      </c>
      <c r="M195" s="20">
        <f>IF(AND(L195&gt;0,I195&lt;0),I195/365*L195*$M$3,"")</f>
        <v/>
      </c>
    </row>
    <row r="196">
      <c r="A196" s="29" t="n">
        <v>45940</v>
      </c>
      <c r="B196" s="26" t="inlineStr">
        <is>
          <t>452.0</t>
        </is>
      </c>
      <c r="C196" s="2" t="inlineStr">
        <is>
          <t>ספוט שקל</t>
        </is>
      </c>
      <c r="D196" s="2" t="inlineStr"/>
      <c r="E196" s="26" t="inlineStr">
        <is>
          <t>4386902.0</t>
        </is>
      </c>
      <c r="F196" s="26" t="inlineStr">
        <is>
          <t>4.0</t>
        </is>
      </c>
      <c r="G196" s="21" t="n">
        <v>415261367.93</v>
      </c>
      <c r="I196" s="21" t="n">
        <v>-401264663.38</v>
      </c>
      <c r="L196" s="15">
        <f>A195-A196</f>
        <v/>
      </c>
      <c r="M196" s="20">
        <f>IF(AND(L196&gt;0,I196&lt;0),I196/365*L196*$M$3,"")</f>
        <v/>
      </c>
    </row>
    <row r="197">
      <c r="A197" s="29" t="n">
        <v>45940</v>
      </c>
      <c r="B197" s="26" t="inlineStr">
        <is>
          <t>452.0</t>
        </is>
      </c>
      <c r="C197" s="2" t="inlineStr">
        <is>
          <t>ספוט שקל</t>
        </is>
      </c>
      <c r="D197" s="2" t="inlineStr"/>
      <c r="E197" s="26" t="inlineStr">
        <is>
          <t>4386893.0</t>
        </is>
      </c>
      <c r="F197" s="26" t="inlineStr">
        <is>
          <t>4.0</t>
        </is>
      </c>
      <c r="G197" s="21" t="n">
        <v>214568636.75</v>
      </c>
      <c r="I197" s="21" t="n">
        <v>13996704.55</v>
      </c>
      <c r="L197" s="15">
        <f>A196-A197</f>
        <v/>
      </c>
      <c r="M197" s="20">
        <f>IF(AND(L197&gt;0,I197&lt;0),I197/365*L197*$M$3,"")</f>
        <v/>
      </c>
    </row>
    <row r="198">
      <c r="A198" s="29" t="n">
        <v>45940</v>
      </c>
      <c r="B198" s="26" t="inlineStr">
        <is>
          <t>142.0</t>
        </is>
      </c>
      <c r="C198" s="2" t="inlineStr">
        <is>
          <t>פורוורד שקל</t>
        </is>
      </c>
      <c r="D198" s="2" t="inlineStr"/>
      <c r="E198" s="26" t="inlineStr">
        <is>
          <t>4380937.0</t>
        </is>
      </c>
      <c r="F198" s="26" t="inlineStr">
        <is>
          <t>6.0</t>
        </is>
      </c>
      <c r="H198" s="21" t="n">
        <v>633905453.27</v>
      </c>
      <c r="I198" s="21" t="n">
        <v>228565341.3</v>
      </c>
      <c r="L198" s="15">
        <f>A197-A198</f>
        <v/>
      </c>
      <c r="M198" s="20">
        <f>IF(AND(L198&gt;0,I198&lt;0),I198/365*L198*$M$3,"")</f>
        <v/>
      </c>
    </row>
    <row r="199">
      <c r="A199" s="29" t="n">
        <v>45939</v>
      </c>
      <c r="B199" s="26" t="inlineStr">
        <is>
          <t>142.0</t>
        </is>
      </c>
      <c r="C199" s="2" t="inlineStr">
        <is>
          <t>המרה</t>
        </is>
      </c>
      <c r="D199" s="2" t="inlineStr"/>
      <c r="E199" s="26" t="inlineStr">
        <is>
          <t>4386892.0</t>
        </is>
      </c>
      <c r="F199" s="26" t="inlineStr">
        <is>
          <t>1.0</t>
        </is>
      </c>
      <c r="H199" s="21" t="n">
        <v>214565996.75</v>
      </c>
      <c r="I199" s="21" t="n">
        <v>-405340111.97</v>
      </c>
      <c r="L199" s="15">
        <f>A198-A199</f>
        <v/>
      </c>
      <c r="M199" s="20">
        <f>IF(AND(L199&gt;0,I199&lt;0),I199/365*L199*$M$3,"")</f>
        <v/>
      </c>
    </row>
    <row r="200">
      <c r="A200" s="29" t="n">
        <v>45938</v>
      </c>
      <c r="B200" s="26" t="inlineStr">
        <is>
          <t>452.0</t>
        </is>
      </c>
      <c r="C200" s="2" t="inlineStr">
        <is>
          <t>החלף מטבע</t>
        </is>
      </c>
      <c r="D200" s="2" t="inlineStr"/>
      <c r="E200" s="26" t="inlineStr">
        <is>
          <t>839502.0</t>
        </is>
      </c>
      <c r="F200" s="26" t="inlineStr">
        <is>
          <t>22.0</t>
        </is>
      </c>
      <c r="G200" s="21" t="n">
        <v>243870000</v>
      </c>
      <c r="I200" s="21" t="n">
        <v>-619906108.72</v>
      </c>
      <c r="L200" s="15">
        <f>A199-A200</f>
        <v/>
      </c>
      <c r="M200" s="20">
        <f>IF(AND(L200&gt;0,I200&lt;0),I200/365*L200*$M$3,"")</f>
        <v/>
      </c>
    </row>
    <row r="201">
      <c r="A201" s="29" t="n">
        <v>45938</v>
      </c>
      <c r="B201" s="26" t="inlineStr">
        <is>
          <t>452.0</t>
        </is>
      </c>
      <c r="C201" s="2" t="inlineStr">
        <is>
          <t>ספוט שקל</t>
        </is>
      </c>
      <c r="D201" s="2" t="inlineStr"/>
      <c r="E201" s="26" t="inlineStr">
        <is>
          <t>4380936.0</t>
        </is>
      </c>
      <c r="F201" s="26" t="inlineStr">
        <is>
          <t>4.0</t>
        </is>
      </c>
      <c r="G201" s="21" t="n">
        <v>633895766.6</v>
      </c>
      <c r="I201" s="21" t="n">
        <v>-376036108.72</v>
      </c>
      <c r="L201" s="15">
        <f>A200-A201</f>
        <v/>
      </c>
      <c r="M201" s="20">
        <f>IF(AND(L201&gt;0,I201&lt;0),I201/365*L201*$M$3,"")</f>
        <v/>
      </c>
    </row>
    <row r="202">
      <c r="A202" s="29" t="n">
        <v>45938</v>
      </c>
      <c r="B202" s="26" t="inlineStr">
        <is>
          <t>142.0</t>
        </is>
      </c>
      <c r="C202" s="2" t="inlineStr">
        <is>
          <t>החלף מטבע</t>
        </is>
      </c>
      <c r="D202" s="2" t="inlineStr"/>
      <c r="E202" s="26" t="inlineStr">
        <is>
          <t>896149.0</t>
        </is>
      </c>
      <c r="F202" s="26" t="inlineStr">
        <is>
          <t>20.0</t>
        </is>
      </c>
      <c r="H202" s="21" t="n">
        <v>1541.56</v>
      </c>
      <c r="I202" s="21" t="n">
        <v>257859657.88</v>
      </c>
      <c r="L202" s="15">
        <f>A201-A202</f>
        <v/>
      </c>
      <c r="M202" s="20">
        <f>IF(AND(L202&gt;0,I202&lt;0),I202/365*L202*$M$3,"")</f>
        <v/>
      </c>
    </row>
    <row r="203">
      <c r="A203" s="29" t="n">
        <v>45938</v>
      </c>
      <c r="B203" s="26" t="inlineStr">
        <is>
          <t>142.0</t>
        </is>
      </c>
      <c r="C203" s="2" t="inlineStr">
        <is>
          <t>ספוט שקל</t>
        </is>
      </c>
      <c r="D203" s="2" t="inlineStr"/>
      <c r="E203" s="26" t="inlineStr">
        <is>
          <t>4378618.0</t>
        </is>
      </c>
      <c r="F203" s="26" t="inlineStr">
        <is>
          <t>4.0</t>
        </is>
      </c>
      <c r="H203" s="21" t="n">
        <v>642831720.83</v>
      </c>
      <c r="I203" s="21" t="n">
        <v>257858116.32</v>
      </c>
      <c r="L203" s="15">
        <f>A202-A203</f>
        <v/>
      </c>
      <c r="M203" s="20">
        <f>IF(AND(L203&gt;0,I203&lt;0),I203/365*L203*$M$3,"")</f>
        <v/>
      </c>
    </row>
    <row r="204">
      <c r="A204" s="29" t="n">
        <v>45936</v>
      </c>
      <c r="B204" s="26" t="inlineStr">
        <is>
          <t>472.0</t>
        </is>
      </c>
      <c r="C204" s="2" t="inlineStr">
        <is>
          <t>רבית (תאריך ערך: 03/10)</t>
        </is>
      </c>
      <c r="D204" s="2" t="inlineStr"/>
      <c r="E204" s="26" t="inlineStr">
        <is>
          <t>925.0</t>
        </is>
      </c>
      <c r="F204" s="26" t="inlineStr">
        <is>
          <t>0.0</t>
        </is>
      </c>
      <c r="G204" s="21" t="n">
        <v>4973620.37</v>
      </c>
      <c r="I204" s="21" t="n">
        <v>-384973604.51</v>
      </c>
      <c r="L204" s="15">
        <f>A203-A204</f>
        <v/>
      </c>
      <c r="M204" s="20">
        <f>IF(AND(L204&gt;0,I204&lt;0),I204/365*L204*$M$3,"")</f>
        <v/>
      </c>
    </row>
    <row r="205">
      <c r="A205" s="29" t="n">
        <v>45933</v>
      </c>
      <c r="B205" s="26" t="inlineStr">
        <is>
          <t>452.0</t>
        </is>
      </c>
      <c r="C205" s="2" t="inlineStr">
        <is>
          <t>החלף מטבע</t>
        </is>
      </c>
      <c r="D205" s="2" t="inlineStr"/>
      <c r="E205" s="26" t="inlineStr">
        <is>
          <t>881990.0</t>
        </is>
      </c>
      <c r="F205" s="26" t="inlineStr">
        <is>
          <t>20.0</t>
        </is>
      </c>
      <c r="G205" s="21" t="n">
        <v>197944.5</v>
      </c>
      <c r="I205" s="21" t="n">
        <v>-379999984.14</v>
      </c>
      <c r="L205" s="15">
        <f>A204-A205</f>
        <v/>
      </c>
      <c r="M205" s="20">
        <f>IF(AND(L205&gt;0,I205&lt;0),I205/365*L205*$M$3,"")</f>
        <v/>
      </c>
    </row>
    <row r="206">
      <c r="A206" s="29" t="n">
        <v>45933</v>
      </c>
      <c r="B206" s="26" t="inlineStr">
        <is>
          <t>452.0</t>
        </is>
      </c>
      <c r="C206" s="2" t="inlineStr">
        <is>
          <t>רכישה</t>
        </is>
      </c>
      <c r="D206" s="2" t="inlineStr"/>
      <c r="E206" s="26" t="inlineStr">
        <is>
          <t>4378617.0</t>
        </is>
      </c>
      <c r="F206" s="26" t="inlineStr">
        <is>
          <t>2.0</t>
        </is>
      </c>
      <c r="G206" s="21" t="n">
        <v>642807504.15</v>
      </c>
      <c r="I206" s="21" t="n">
        <v>-379802039.64</v>
      </c>
      <c r="L206" s="15">
        <f>A205-A206</f>
        <v/>
      </c>
      <c r="M206" s="20">
        <f>IF(AND(L206&gt;0,I206&lt;0),I206/365*L206*$M$3,"")</f>
        <v/>
      </c>
    </row>
    <row r="207">
      <c r="A207" s="29" t="n">
        <v>45933</v>
      </c>
      <c r="B207" s="26" t="inlineStr">
        <is>
          <t>142.0</t>
        </is>
      </c>
      <c r="C207" s="2" t="inlineStr">
        <is>
          <t>ספוט שקל</t>
        </is>
      </c>
      <c r="D207" s="2" t="inlineStr"/>
      <c r="E207" s="26" t="inlineStr">
        <is>
          <t>4375142.0</t>
        </is>
      </c>
      <c r="F207" s="26" t="inlineStr">
        <is>
          <t>4.0</t>
        </is>
      </c>
      <c r="H207" s="21" t="n">
        <v>640268949.05</v>
      </c>
      <c r="I207" s="21" t="n">
        <v>263005464.51</v>
      </c>
      <c r="L207" s="15">
        <f>A206-A207</f>
        <v/>
      </c>
      <c r="M207" s="20">
        <f>IF(AND(L207&gt;0,I207&lt;0),I207/365*L207*$M$3,"")</f>
        <v/>
      </c>
    </row>
    <row r="208">
      <c r="A208" s="29" t="n">
        <v>45933</v>
      </c>
      <c r="B208" s="26" t="inlineStr">
        <is>
          <t>121.0</t>
        </is>
      </c>
      <c r="C208" s="2" t="inlineStr">
        <is>
          <t>ני"ע-פדיון</t>
        </is>
      </c>
      <c r="D208" s="2" t="inlineStr"/>
      <c r="E208" s="26" t="inlineStr">
        <is>
          <t>1158609.0</t>
        </is>
      </c>
      <c r="F208" s="26" t="inlineStr">
        <is>
          <t>9997.0</t>
        </is>
      </c>
      <c r="H208" s="21" t="n">
        <v>281667.11</v>
      </c>
      <c r="I208" s="21" t="n">
        <v>-377263484.54</v>
      </c>
      <c r="L208" s="15">
        <f>A207-A208</f>
        <v/>
      </c>
      <c r="M208" s="20">
        <f>IF(AND(L208&gt;0,I208&lt;0),I208/365*L208*$M$3,"")</f>
        <v/>
      </c>
    </row>
    <row r="209">
      <c r="A209" s="29" t="n">
        <v>45933</v>
      </c>
      <c r="B209" s="26" t="inlineStr">
        <is>
          <t>121.0</t>
        </is>
      </c>
      <c r="C209" s="2" t="inlineStr">
        <is>
          <t>ני"ע-תש' ריבית</t>
        </is>
      </c>
      <c r="D209" s="2" t="inlineStr"/>
      <c r="E209" s="26" t="inlineStr">
        <is>
          <t>1158609.0</t>
        </is>
      </c>
      <c r="F209" s="26" t="inlineStr">
        <is>
          <t>9997.0</t>
        </is>
      </c>
      <c r="H209" s="21" t="n">
        <v>32110.06</v>
      </c>
      <c r="I209" s="21" t="n">
        <v>-377545151.65</v>
      </c>
      <c r="L209" s="15">
        <f>A208-A209</f>
        <v/>
      </c>
      <c r="M209" s="20">
        <f>IF(AND(L209&gt;0,I209&lt;0),I209/365*L209*$M$3,"")</f>
        <v/>
      </c>
    </row>
    <row r="210">
      <c r="M210" s="30">
        <f>SUM(M4:M209)</f>
        <v/>
      </c>
      <c r="N210" s="30">
        <f>SUM(N4:N209)</f>
        <v/>
      </c>
      <c r="O210" s="30">
        <f>SUM(M210:N210)</f>
        <v/>
      </c>
      <c r="P210" s="4" t="inlineStr">
        <is>
          <t>סכום לתשלום</t>
        </is>
      </c>
    </row>
    <row r="211">
      <c r="O211" s="20">
        <f>-'פירוט ריבית חובה לפי PDF'!G39</f>
        <v/>
      </c>
      <c r="P211" s="2" t="inlineStr">
        <is>
          <t>סכום שירד בפועל</t>
        </is>
      </c>
    </row>
    <row r="212">
      <c r="O212" s="22">
        <f>O210-O211</f>
        <v/>
      </c>
      <c r="P212" s="31" t="inlineStr">
        <is>
          <t xml:space="preserve">החזר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2026-04-03T06:34:50Z</dcterms:created>
  <dcterms:modified xmlns:dcterms="http://purl.org/dc/terms/" xmlns:xsi="http://www.w3.org/2001/XMLSchema-instance" xsi:type="dcterms:W3CDTF">2026-04-03T06:34:51Z</dcterms:modified>
</cp:coreProperties>
</file>