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 * #,##0.0_"/>
    <numFmt numFmtId="166" formatCode="yyyy-mm-dd h:mm:ss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4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1" fontId="0" fillId="0" borderId="0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3" fontId="0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 xml:space="preserve">תאריך הדפסה 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I9" s="11">
        <f>$I$2+$I$3</f>
        <v/>
      </c>
      <c r="J9" s="11">
        <f>$J$2+$I$3</f>
        <v/>
      </c>
      <c r="K9" s="11">
        <f>$I$2+$I$4</f>
        <v/>
      </c>
      <c r="L9" s="11">
        <f>$J$2+$I$4</f>
        <v/>
      </c>
    </row>
    <row r="10">
      <c r="A10" s="12" t="inlineStr">
        <is>
          <t>01/10/25</t>
        </is>
      </c>
      <c r="B10" s="12" t="inlineStr">
        <is>
          <t>31/10/25</t>
        </is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</row>
    <row r="11">
      <c r="A11" s="13" t="inlineStr">
        <is>
          <t>מדרגה 1</t>
        </is>
      </c>
      <c r="B11" s="14" t="n"/>
      <c r="C11" s="14" t="n"/>
      <c r="D11" s="14" t="n"/>
      <c r="E11" s="15" t="n">
        <v>13000000</v>
      </c>
      <c r="F11" s="16" t="n">
        <v>0.049</v>
      </c>
      <c r="G11" s="17" t="n">
        <v>83304292.11</v>
      </c>
      <c r="H11" s="18" t="n">
        <v>11183.32</v>
      </c>
      <c r="I11" s="19">
        <f>(F11-$I$9)/365*G11</f>
        <v/>
      </c>
    </row>
    <row r="12">
      <c r="A12" s="13" t="inlineStr">
        <is>
          <t>חריגה</t>
        </is>
      </c>
      <c r="B12" s="14" t="n"/>
      <c r="C12" s="14" t="n"/>
      <c r="D12" s="14" t="n"/>
      <c r="F12" s="16" t="n">
        <v>0.049</v>
      </c>
      <c r="G12" s="17" t="n">
        <v>208909220.12</v>
      </c>
      <c r="H12" s="18" t="n">
        <v>28045.35</v>
      </c>
      <c r="I12" s="19">
        <f>(F12-$I$9)/365*G12</f>
        <v/>
      </c>
    </row>
    <row r="13">
      <c r="A13" s="12" t="inlineStr">
        <is>
          <t>01/11/25</t>
        </is>
      </c>
      <c r="B13" s="12" t="inlineStr">
        <is>
          <t>25/11/25</t>
        </is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</row>
    <row r="14">
      <c r="A14" s="13" t="inlineStr">
        <is>
          <t>מדרגה 1</t>
        </is>
      </c>
      <c r="B14" s="14" t="n"/>
      <c r="C14" s="14" t="n"/>
      <c r="D14" s="14" t="n"/>
      <c r="E14" s="15" t="n">
        <v>13000000</v>
      </c>
      <c r="F14" s="16" t="n">
        <v>0.049</v>
      </c>
      <c r="G14" s="17" t="n">
        <v>124902275.84</v>
      </c>
      <c r="H14" s="18" t="n">
        <v>16767.7</v>
      </c>
      <c r="I14" s="19">
        <f>(F14-$I$9)/365*G14</f>
        <v/>
      </c>
    </row>
    <row r="15">
      <c r="A15" s="13" t="inlineStr">
        <is>
          <t>חריגה</t>
        </is>
      </c>
      <c r="B15" s="14" t="n"/>
      <c r="C15" s="14" t="n"/>
      <c r="D15" s="14" t="n"/>
      <c r="F15" s="16" t="n">
        <v>0.049</v>
      </c>
      <c r="G15" s="17" t="n">
        <v>1409440543.08</v>
      </c>
      <c r="H15" s="18" t="n">
        <v>189212.57</v>
      </c>
      <c r="I15" s="19">
        <f>(F15-$I$9)/365*G15</f>
        <v/>
      </c>
    </row>
    <row r="16">
      <c r="A16" s="12" t="inlineStr">
        <is>
          <t>26/11/25</t>
        </is>
      </c>
      <c r="B16" s="12" t="inlineStr">
        <is>
          <t>26/11/25</t>
        </is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</row>
    <row r="17">
      <c r="A17" s="13" t="inlineStr">
        <is>
          <t>מדרגה 1</t>
        </is>
      </c>
      <c r="B17" s="14" t="n"/>
      <c r="C17" s="14" t="n"/>
      <c r="D17" s="14" t="n"/>
      <c r="E17" s="15" t="n">
        <v>10100000</v>
      </c>
      <c r="F17" s="16" t="n">
        <v>0.049</v>
      </c>
      <c r="G17" s="17" t="n">
        <v>0</v>
      </c>
      <c r="H17" s="18" t="n">
        <v>0</v>
      </c>
      <c r="I17" s="19">
        <f>(F17-$I$9)/365*G17</f>
        <v/>
      </c>
      <c r="J17" s="19">
        <f>(F17-$J$9)/365*G17</f>
        <v/>
      </c>
    </row>
    <row r="18">
      <c r="A18" s="13" t="inlineStr">
        <is>
          <t>חריגה</t>
        </is>
      </c>
      <c r="B18" s="14" t="n"/>
      <c r="C18" s="14" t="n"/>
      <c r="D18" s="14" t="n"/>
      <c r="F18" s="16" t="n">
        <v>0.049</v>
      </c>
      <c r="G18" s="17" t="n">
        <v>0</v>
      </c>
      <c r="H18" s="18" t="n">
        <v>0</v>
      </c>
      <c r="I18" s="19">
        <f>(F18-$I$9)/365*G18</f>
        <v/>
      </c>
      <c r="J18" s="19">
        <f>(F18-$J$9)/365*G18</f>
        <v/>
      </c>
    </row>
    <row r="19">
      <c r="A19" s="12" t="inlineStr">
        <is>
          <t>27/11/25</t>
        </is>
      </c>
      <c r="B19" s="12" t="inlineStr">
        <is>
          <t>30/11/25</t>
        </is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</row>
    <row r="20">
      <c r="A20" s="13" t="inlineStr">
        <is>
          <t>מדרגה 1</t>
        </is>
      </c>
      <c r="B20" s="14" t="n"/>
      <c r="C20" s="14" t="n"/>
      <c r="D20" s="14" t="n"/>
      <c r="E20" s="15" t="n">
        <v>10100000</v>
      </c>
      <c r="F20" s="16" t="n">
        <v>0.04650000000000001</v>
      </c>
      <c r="G20" s="17" t="n">
        <v>0</v>
      </c>
      <c r="H20" s="18" t="n">
        <v>0</v>
      </c>
      <c r="I20" s="19">
        <f>(F20-$I$9)/365*G20</f>
        <v/>
      </c>
      <c r="J20" s="19">
        <f>(F20-$J$9)/365*G20</f>
        <v/>
      </c>
    </row>
    <row r="21">
      <c r="A21" s="13" t="inlineStr">
        <is>
          <t>חריגה</t>
        </is>
      </c>
      <c r="B21" s="14" t="n"/>
      <c r="C21" s="14" t="n"/>
      <c r="D21" s="14" t="n"/>
      <c r="F21" s="16" t="n">
        <v>0.04650000000000001</v>
      </c>
      <c r="G21" s="17" t="n">
        <v>0</v>
      </c>
      <c r="H21" s="18" t="n">
        <v>0</v>
      </c>
      <c r="I21" s="19">
        <f>(F21-$I$9)/365*G21</f>
        <v/>
      </c>
      <c r="J21" s="19">
        <f>(F21-$J$9)/365*G21</f>
        <v/>
      </c>
    </row>
    <row r="22">
      <c r="A22" s="12" t="inlineStr">
        <is>
          <t>01/12/25</t>
        </is>
      </c>
      <c r="B22" s="12" t="inlineStr">
        <is>
          <t>21/12/25</t>
        </is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</row>
    <row r="23">
      <c r="A23" s="13" t="inlineStr">
        <is>
          <t>מדרגה 1</t>
        </is>
      </c>
      <c r="B23" s="14" t="n"/>
      <c r="C23" s="14" t="n"/>
      <c r="D23" s="14" t="n"/>
      <c r="E23" s="15" t="n">
        <v>10100000</v>
      </c>
      <c r="F23" s="16" t="n">
        <v>0.04650000000000001</v>
      </c>
      <c r="G23" s="17" t="n">
        <v>0</v>
      </c>
      <c r="H23" s="18" t="n">
        <v>0</v>
      </c>
      <c r="I23" s="19">
        <f>(F23-$I$9)/365*G23</f>
        <v/>
      </c>
      <c r="J23" s="19">
        <f>(F23-$J$9)/365*G23</f>
        <v/>
      </c>
    </row>
    <row r="24">
      <c r="A24" s="13" t="inlineStr">
        <is>
          <t>חריגה</t>
        </is>
      </c>
      <c r="B24" s="14" t="n"/>
      <c r="C24" s="14" t="n"/>
      <c r="D24" s="14" t="n"/>
      <c r="F24" s="16" t="n">
        <v>0.04650000000000001</v>
      </c>
      <c r="G24" s="17" t="n">
        <v>0</v>
      </c>
      <c r="H24" s="18" t="n">
        <v>0</v>
      </c>
      <c r="I24" s="19">
        <f>(F24-$I$9)/365*G24</f>
        <v/>
      </c>
      <c r="J24" s="19">
        <f>(F24-$J$9)/365*G24</f>
        <v/>
      </c>
    </row>
    <row r="25">
      <c r="A25" s="12" t="inlineStr">
        <is>
          <t>22/12/25</t>
        </is>
      </c>
      <c r="B25" s="12" t="inlineStr">
        <is>
          <t>31/12/25</t>
        </is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</row>
    <row r="26">
      <c r="A26" s="13" t="inlineStr">
        <is>
          <t>מדרגה 1</t>
        </is>
      </c>
      <c r="B26" s="14" t="n"/>
      <c r="C26" s="14" t="n"/>
      <c r="D26" s="14" t="n"/>
      <c r="E26" s="15" t="n">
        <v>3100000</v>
      </c>
      <c r="F26" s="16" t="n">
        <v>0.04650000000000001</v>
      </c>
      <c r="G26" s="17" t="n">
        <v>0</v>
      </c>
      <c r="H26" s="18" t="n">
        <v>0</v>
      </c>
      <c r="I26" s="19">
        <f>(F26-$I$9)/365*G26</f>
        <v/>
      </c>
      <c r="J26" s="19">
        <f>(F26-$J$9)/365*G26</f>
        <v/>
      </c>
    </row>
    <row r="27">
      <c r="A27" s="13" t="inlineStr">
        <is>
          <t>חריגה</t>
        </is>
      </c>
      <c r="B27" s="14" t="n"/>
      <c r="C27" s="14" t="n"/>
      <c r="D27" s="14" t="n"/>
      <c r="F27" s="16" t="n">
        <v>0.04650000000000001</v>
      </c>
      <c r="G27" s="17" t="n">
        <v>0</v>
      </c>
      <c r="H27" s="18" t="n">
        <v>0</v>
      </c>
      <c r="I27" s="19">
        <f>(F27-$I$9)/365*G27</f>
        <v/>
      </c>
      <c r="J27" s="19">
        <f>(F27-$J$9)/365*G27</f>
        <v/>
      </c>
    </row>
    <row r="28">
      <c r="H28" s="4" t="inlineStr">
        <is>
          <t>החזר</t>
        </is>
      </c>
      <c r="I28" s="20">
        <f>SUM(I11:I27)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</row>
    <row r="30">
      <c r="F30" s="2" t="inlineStr">
        <is>
          <t>חריגה</t>
        </is>
      </c>
      <c r="G30" s="21" t="n">
        <v>217257.92</v>
      </c>
    </row>
    <row r="31">
      <c r="G31" s="22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3" t="inlineStr">
        <is>
          <t>מספרי חובה - נתון זה הינו סיכום (חיבור) של יתרות החובה בפועל (לפי תאריכי ערך)</t>
        </is>
      </c>
    </row>
    <row r="36">
      <c r="A36" s="24" t="inlineStr">
        <is>
          <t>בתקופת החישוב לגביה מחושבת ריבית החובה במדרגה הנדונה.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5" t="inlineStr">
        <is>
          <t>27.11</t>
        </is>
      </c>
    </row>
    <row r="3">
      <c r="A3" s="26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7" t="inlineStr">
        <is>
          <t>תאריך</t>
        </is>
      </c>
      <c r="B5" s="27" t="inlineStr">
        <is>
          <t>קוד פעולה</t>
        </is>
      </c>
      <c r="C5" s="27" t="inlineStr">
        <is>
          <t>הפעולה</t>
        </is>
      </c>
      <c r="D5" s="27" t="inlineStr">
        <is>
          <t>פרטים</t>
        </is>
      </c>
      <c r="E5" s="27" t="inlineStr">
        <is>
          <t>אסמכתא</t>
        </is>
      </c>
      <c r="F5" s="27" t="inlineStr">
        <is>
          <t>צרור</t>
        </is>
      </c>
      <c r="G5" s="27" t="inlineStr">
        <is>
          <t>חובה</t>
        </is>
      </c>
      <c r="H5" s="27" t="inlineStr">
        <is>
          <t>זכות</t>
        </is>
      </c>
      <c r="I5" s="27" t="inlineStr">
        <is>
          <t>יתרה בש"ח</t>
        </is>
      </c>
      <c r="J5" s="27" t="inlineStr">
        <is>
          <t>הערה</t>
        </is>
      </c>
    </row>
    <row r="6">
      <c r="A6" s="28" t="n">
        <v>46026</v>
      </c>
      <c r="B6" s="25" t="inlineStr">
        <is>
          <t>472</t>
        </is>
      </c>
      <c r="C6" s="2" t="inlineStr">
        <is>
          <t>רבית (תאריך ערך: 01/01)</t>
        </is>
      </c>
      <c r="D6" s="2" t="inlineStr"/>
      <c r="E6" s="25" t="inlineStr">
        <is>
          <t>1225</t>
        </is>
      </c>
      <c r="F6" s="25" t="inlineStr">
        <is>
          <t>0</t>
        </is>
      </c>
      <c r="G6" s="21" t="n">
        <v>245208.93</v>
      </c>
      <c r="I6" s="21" t="n">
        <v>-245208.93</v>
      </c>
      <c r="J6" s="29">
        <f>A6-A7</f>
        <v/>
      </c>
    </row>
    <row r="7">
      <c r="A7" s="28" t="n">
        <v>46022</v>
      </c>
      <c r="B7" s="25" t="inlineStr">
        <is>
          <t>469</t>
        </is>
      </c>
      <c r="C7" s="2" t="inlineStr">
        <is>
          <t>הוראת-קבע</t>
        </is>
      </c>
      <c r="D7" s="2" t="inlineStr"/>
      <c r="E7" s="25" t="inlineStr">
        <is>
          <t>600463579</t>
        </is>
      </c>
      <c r="F7" s="25" t="inlineStr">
        <is>
          <t>33333</t>
        </is>
      </c>
      <c r="G7" s="21" t="n">
        <v>2146408.29</v>
      </c>
      <c r="J7" s="29">
        <f>A7-A8</f>
        <v/>
      </c>
    </row>
    <row r="8">
      <c r="A8" s="28" t="n">
        <v>46022</v>
      </c>
      <c r="B8" s="25" t="inlineStr">
        <is>
          <t>452</t>
        </is>
      </c>
      <c r="C8" s="2" t="inlineStr">
        <is>
          <t>החלף ריבית</t>
        </is>
      </c>
      <c r="D8" s="2" t="inlineStr"/>
      <c r="E8" s="25" t="inlineStr">
        <is>
          <t>808516</t>
        </is>
      </c>
      <c r="F8" s="25" t="inlineStr">
        <is>
          <t>20</t>
        </is>
      </c>
      <c r="G8" s="21" t="n">
        <v>55627.75</v>
      </c>
      <c r="I8" s="21" t="n">
        <v>2146408.29</v>
      </c>
      <c r="J8" s="29">
        <f>A8-A9</f>
        <v/>
      </c>
    </row>
    <row r="9">
      <c r="A9" s="28" t="n">
        <v>46022</v>
      </c>
      <c r="B9" s="25" t="inlineStr">
        <is>
          <t>142</t>
        </is>
      </c>
      <c r="C9" s="2" t="inlineStr">
        <is>
          <t>החלף ריבית</t>
        </is>
      </c>
      <c r="D9" s="2" t="inlineStr"/>
      <c r="E9" s="25" t="inlineStr">
        <is>
          <t>760449</t>
        </is>
      </c>
      <c r="F9" s="25" t="inlineStr">
        <is>
          <t>20</t>
        </is>
      </c>
      <c r="H9" s="21" t="n">
        <v>1654254.76</v>
      </c>
      <c r="I9" s="21" t="n">
        <v>2202036.04</v>
      </c>
      <c r="J9" s="29">
        <f>A9-A10</f>
        <v/>
      </c>
    </row>
    <row r="10">
      <c r="A10" s="28" t="n">
        <v>46022</v>
      </c>
      <c r="B10" s="25" t="inlineStr">
        <is>
          <t>142</t>
        </is>
      </c>
      <c r="C10" s="2" t="inlineStr">
        <is>
          <t>החלף ריבית</t>
        </is>
      </c>
      <c r="D10" s="2" t="inlineStr"/>
      <c r="E10" s="25" t="inlineStr">
        <is>
          <t>745619</t>
        </is>
      </c>
      <c r="F10" s="25" t="inlineStr">
        <is>
          <t>20</t>
        </is>
      </c>
      <c r="H10" s="21" t="n">
        <v>547781.28</v>
      </c>
      <c r="I10" s="21" t="n">
        <v>547781.28</v>
      </c>
      <c r="J10" s="29">
        <f>A10-A11</f>
        <v/>
      </c>
    </row>
    <row r="11">
      <c r="A11" s="28" t="n">
        <v>46021</v>
      </c>
      <c r="B11" s="25" t="inlineStr">
        <is>
          <t>452</t>
        </is>
      </c>
      <c r="C11" s="2" t="inlineStr">
        <is>
          <t>החלף ריבית</t>
        </is>
      </c>
      <c r="D11" s="2" t="inlineStr"/>
      <c r="E11" s="25" t="inlineStr">
        <is>
          <t>786124</t>
        </is>
      </c>
      <c r="F11" s="25" t="inlineStr">
        <is>
          <t>20</t>
        </is>
      </c>
      <c r="G11" s="21" t="n">
        <v>464423.26</v>
      </c>
      <c r="J11" s="29">
        <f>A11-A12</f>
        <v/>
      </c>
    </row>
    <row r="12">
      <c r="A12" s="28" t="n">
        <v>46021</v>
      </c>
      <c r="B12" s="25" t="inlineStr">
        <is>
          <t>452</t>
        </is>
      </c>
      <c r="C12" s="2" t="inlineStr">
        <is>
          <t>החלף ריבית</t>
        </is>
      </c>
      <c r="D12" s="2" t="inlineStr"/>
      <c r="E12" s="25" t="inlineStr">
        <is>
          <t>783899</t>
        </is>
      </c>
      <c r="F12" s="25" t="inlineStr">
        <is>
          <t>20</t>
        </is>
      </c>
      <c r="G12" s="21" t="n">
        <v>1658654.51</v>
      </c>
      <c r="I12" s="21" t="n">
        <v>464423.26</v>
      </c>
      <c r="J12" s="29">
        <f>A12-A13</f>
        <v/>
      </c>
    </row>
    <row r="13">
      <c r="A13" s="28" t="n">
        <v>46021</v>
      </c>
      <c r="B13" s="25" t="inlineStr">
        <is>
          <t>469</t>
        </is>
      </c>
      <c r="C13" s="2" t="inlineStr">
        <is>
          <t>הוראת-קבע</t>
        </is>
      </c>
      <c r="D13" s="2" t="inlineStr"/>
      <c r="E13" s="25" t="inlineStr">
        <is>
          <t>600463579</t>
        </is>
      </c>
      <c r="F13" s="25" t="inlineStr">
        <is>
          <t>33333</t>
        </is>
      </c>
      <c r="G13" s="21" t="n">
        <v>-2123077.77</v>
      </c>
      <c r="I13" s="21" t="n">
        <v>2123077.77</v>
      </c>
      <c r="J13" s="29">
        <f>A13-A14</f>
        <v/>
      </c>
    </row>
    <row r="14">
      <c r="A14" s="28" t="n">
        <v>45981</v>
      </c>
      <c r="B14" s="25" t="inlineStr">
        <is>
          <t>469</t>
        </is>
      </c>
      <c r="C14" s="2" t="inlineStr">
        <is>
          <t>הוראת-קבע</t>
        </is>
      </c>
      <c r="D14" s="2" t="inlineStr"/>
      <c r="E14" s="25" t="inlineStr">
        <is>
          <t>600463579</t>
        </is>
      </c>
      <c r="F14" s="25" t="inlineStr">
        <is>
          <t>33333</t>
        </is>
      </c>
      <c r="G14" s="21" t="n">
        <v>-987784.48</v>
      </c>
      <c r="J14" s="29">
        <f>A14-A15</f>
        <v/>
      </c>
    </row>
    <row r="15">
      <c r="A15" s="28" t="n">
        <v>45973</v>
      </c>
      <c r="B15" s="25" t="inlineStr">
        <is>
          <t>142</t>
        </is>
      </c>
      <c r="C15" s="2" t="inlineStr">
        <is>
          <t>פורוורד שקל</t>
        </is>
      </c>
      <c r="D15" s="2" t="inlineStr"/>
      <c r="E15" s="25" t="inlineStr">
        <is>
          <t>4430240</t>
        </is>
      </c>
      <c r="F15" s="25" t="inlineStr">
        <is>
          <t>6</t>
        </is>
      </c>
      <c r="H15" s="21" t="n">
        <v>159389620.24</v>
      </c>
      <c r="I15" s="21" t="n">
        <v>-987784.48</v>
      </c>
      <c r="J15" s="29">
        <f>A15-A16</f>
        <v/>
      </c>
    </row>
    <row r="16">
      <c r="A16" s="28" t="n">
        <v>45968</v>
      </c>
      <c r="B16" s="25" t="inlineStr">
        <is>
          <t>142</t>
        </is>
      </c>
      <c r="C16" s="2" t="inlineStr">
        <is>
          <t>ספוט שקל</t>
        </is>
      </c>
      <c r="D16" s="2" t="inlineStr"/>
      <c r="E16" s="25" t="inlineStr">
        <is>
          <t>4441104</t>
        </is>
      </c>
      <c r="F16" s="25" t="inlineStr">
        <is>
          <t>4</t>
        </is>
      </c>
      <c r="H16" s="21" t="n">
        <v>86033735.28</v>
      </c>
      <c r="I16" s="21" t="n">
        <v>-160377404.72</v>
      </c>
      <c r="J16" s="29">
        <f>A16-A17</f>
        <v/>
      </c>
    </row>
    <row r="17">
      <c r="A17" s="28" t="n">
        <v>45967</v>
      </c>
      <c r="B17" s="25" t="inlineStr">
        <is>
          <t>452</t>
        </is>
      </c>
      <c r="C17" s="2" t="inlineStr">
        <is>
          <t>רכישה</t>
        </is>
      </c>
      <c r="D17" s="2" t="inlineStr"/>
      <c r="E17" s="25" t="inlineStr">
        <is>
          <t>4441103</t>
        </is>
      </c>
      <c r="F17" s="25" t="inlineStr">
        <is>
          <t>2</t>
        </is>
      </c>
      <c r="G17" s="21" t="n">
        <v>86034000</v>
      </c>
      <c r="I17" s="21" t="n">
        <v>-246411140</v>
      </c>
      <c r="J17" s="29">
        <f>A17-A18</f>
        <v/>
      </c>
    </row>
    <row r="18">
      <c r="A18" s="28" t="n">
        <v>45967</v>
      </c>
      <c r="B18" s="25" t="inlineStr">
        <is>
          <t>452</t>
        </is>
      </c>
      <c r="C18" s="2" t="inlineStr">
        <is>
          <t>ספוט שקל</t>
        </is>
      </c>
      <c r="D18" s="2" t="inlineStr"/>
      <c r="E18" s="25" t="inlineStr">
        <is>
          <t>4436494</t>
        </is>
      </c>
      <c r="F18" s="25" t="inlineStr">
        <is>
          <t>4</t>
        </is>
      </c>
      <c r="G18" s="21" t="n">
        <v>160377140</v>
      </c>
      <c r="I18" s="21" t="n">
        <v>-160377140</v>
      </c>
      <c r="J18" s="29">
        <f>A18-A19</f>
        <v/>
      </c>
    </row>
    <row r="19">
      <c r="A19" s="28" t="n">
        <v>45966</v>
      </c>
      <c r="B19" s="25" t="inlineStr">
        <is>
          <t>469</t>
        </is>
      </c>
      <c r="C19" s="2" t="inlineStr">
        <is>
          <t>הוראת-קבע</t>
        </is>
      </c>
      <c r="D19" s="2" t="inlineStr"/>
      <c r="E19" s="25" t="inlineStr">
        <is>
          <t>600463579</t>
        </is>
      </c>
      <c r="F19" s="25" t="inlineStr">
        <is>
          <t>33333</t>
        </is>
      </c>
      <c r="G19" s="21" t="n">
        <v>996837.6</v>
      </c>
      <c r="J19" s="29">
        <f>A19-A20</f>
        <v/>
      </c>
    </row>
    <row r="20">
      <c r="A20" s="28" t="n">
        <v>45966</v>
      </c>
      <c r="B20" s="25" t="inlineStr">
        <is>
          <t>452</t>
        </is>
      </c>
      <c r="C20" s="2" t="inlineStr">
        <is>
          <t>ספוט שקל</t>
        </is>
      </c>
      <c r="D20" s="2" t="inlineStr"/>
      <c r="E20" s="25" t="inlineStr">
        <is>
          <t>4430239</t>
        </is>
      </c>
      <c r="F20" s="25" t="inlineStr">
        <is>
          <t>4</t>
        </is>
      </c>
      <c r="G20" s="21" t="n">
        <v>159380793</v>
      </c>
      <c r="I20" s="21" t="n">
        <v>996837.6</v>
      </c>
      <c r="J20" s="29">
        <f>A20-A21</f>
        <v/>
      </c>
    </row>
    <row r="21">
      <c r="A21" s="28" t="n">
        <v>45966</v>
      </c>
      <c r="B21" s="25" t="inlineStr">
        <is>
          <t>142</t>
        </is>
      </c>
      <c r="C21" s="2" t="inlineStr">
        <is>
          <t>המרה</t>
        </is>
      </c>
      <c r="D21" s="2" t="inlineStr"/>
      <c r="E21" s="25" t="inlineStr">
        <is>
          <t>4436493</t>
        </is>
      </c>
      <c r="F21" s="25" t="inlineStr">
        <is>
          <t>1</t>
        </is>
      </c>
      <c r="H21" s="21" t="n">
        <v>160377630.6</v>
      </c>
      <c r="I21" s="21" t="n">
        <v>160377630.6</v>
      </c>
      <c r="J21" s="29">
        <f>A21-A22</f>
        <v/>
      </c>
    </row>
    <row r="22">
      <c r="A22" s="28" t="n">
        <v>45965</v>
      </c>
      <c r="B22" s="25" t="inlineStr">
        <is>
          <t>469</t>
        </is>
      </c>
      <c r="C22" s="2" t="inlineStr">
        <is>
          <t>הוראת-קבע</t>
        </is>
      </c>
      <c r="D22" s="2" t="inlineStr"/>
      <c r="E22" s="25" t="inlineStr">
        <is>
          <t>600463579</t>
        </is>
      </c>
      <c r="F22" s="25" t="inlineStr">
        <is>
          <t>33333</t>
        </is>
      </c>
      <c r="G22" s="21" t="n">
        <v>8827.25</v>
      </c>
      <c r="J22" s="29">
        <f>A22-A23</f>
        <v/>
      </c>
    </row>
    <row r="23">
      <c r="A23" s="28" t="n">
        <v>45965</v>
      </c>
      <c r="B23" s="25" t="inlineStr">
        <is>
          <t>142</t>
        </is>
      </c>
      <c r="C23" s="2" t="inlineStr">
        <is>
          <t>ספוט שקל</t>
        </is>
      </c>
      <c r="D23" s="2" t="inlineStr"/>
      <c r="E23" s="25" t="inlineStr">
        <is>
          <t>4427953</t>
        </is>
      </c>
      <c r="F23" s="25" t="inlineStr">
        <is>
          <t>4</t>
        </is>
      </c>
      <c r="H23" s="21" t="n">
        <v>159389620.41</v>
      </c>
      <c r="I23" s="21" t="n">
        <v>8827.25</v>
      </c>
      <c r="J23" s="29">
        <f>A23-A24</f>
        <v/>
      </c>
    </row>
    <row r="24">
      <c r="A24" s="28" t="n">
        <v>45961</v>
      </c>
      <c r="B24" s="25" t="inlineStr">
        <is>
          <t>452</t>
        </is>
      </c>
      <c r="C24" s="2" t="inlineStr">
        <is>
          <t>רכישה</t>
        </is>
      </c>
      <c r="D24" s="2" t="inlineStr"/>
      <c r="E24" s="25" t="inlineStr">
        <is>
          <t>4427952</t>
        </is>
      </c>
      <c r="F24" s="25" t="inlineStr">
        <is>
          <t>2</t>
        </is>
      </c>
      <c r="G24" s="21" t="n">
        <v>159380793.16</v>
      </c>
      <c r="I24" s="21" t="n">
        <v>-159380793.16</v>
      </c>
      <c r="J24" s="29">
        <f>A24-A25</f>
        <v/>
      </c>
    </row>
    <row r="25">
      <c r="A25" s="28" t="n">
        <v>45952</v>
      </c>
      <c r="B25" s="25" t="inlineStr">
        <is>
          <t>469</t>
        </is>
      </c>
      <c r="C25" s="2" t="inlineStr">
        <is>
          <t>הוראת-קבע</t>
        </is>
      </c>
      <c r="D25" s="2" t="inlineStr"/>
      <c r="E25" s="25" t="inlineStr">
        <is>
          <t>600463579</t>
        </is>
      </c>
      <c r="F25" s="25" t="inlineStr">
        <is>
          <t>33333</t>
        </is>
      </c>
      <c r="G25" s="21" t="n">
        <v>-2288234.4</v>
      </c>
      <c r="J25" s="29">
        <f>A25-A26</f>
        <v/>
      </c>
    </row>
    <row r="26">
      <c r="A26" s="28" t="n">
        <v>45951</v>
      </c>
      <c r="B26" s="25" t="inlineStr">
        <is>
          <t>142</t>
        </is>
      </c>
      <c r="C26" s="2" t="inlineStr">
        <is>
          <t>ספוט שקל</t>
        </is>
      </c>
      <c r="D26" s="2" t="inlineStr"/>
      <c r="E26" s="25" t="inlineStr">
        <is>
          <t>4402763</t>
        </is>
      </c>
      <c r="F26" s="25" t="inlineStr">
        <is>
          <t>4</t>
        </is>
      </c>
      <c r="H26" s="21" t="n">
        <v>26266620.93</v>
      </c>
      <c r="I26" s="21" t="n">
        <v>-2288234.4</v>
      </c>
      <c r="J26" s="29">
        <f>A26-A27</f>
        <v/>
      </c>
    </row>
    <row r="27">
      <c r="A27" s="28" t="n">
        <v>45950</v>
      </c>
      <c r="B27" s="25" t="inlineStr">
        <is>
          <t>471</t>
        </is>
      </c>
      <c r="C27" s="2" t="inlineStr">
        <is>
          <t>ניע עמלת העברה</t>
        </is>
      </c>
      <c r="D27" s="2" t="inlineStr"/>
      <c r="E27" s="25" t="inlineStr">
        <is>
          <t>72985955</t>
        </is>
      </c>
      <c r="F27" s="25" t="inlineStr">
        <is>
          <t>1080</t>
        </is>
      </c>
      <c r="G27" s="21" t="n">
        <v>5</v>
      </c>
      <c r="I27" s="21" t="n">
        <v>-28554855.33</v>
      </c>
      <c r="J27" s="29">
        <f>A27-A28</f>
        <v/>
      </c>
    </row>
    <row r="28">
      <c r="A28" s="28" t="n">
        <v>45950</v>
      </c>
      <c r="B28" s="25" t="inlineStr">
        <is>
          <t>452</t>
        </is>
      </c>
      <c r="C28" s="2" t="inlineStr">
        <is>
          <t>רכישה</t>
        </is>
      </c>
      <c r="D28" s="2" t="inlineStr"/>
      <c r="E28" s="25" t="inlineStr">
        <is>
          <t>4402762</t>
        </is>
      </c>
      <c r="F28" s="25" t="inlineStr">
        <is>
          <t>2</t>
        </is>
      </c>
      <c r="G28" s="21" t="n">
        <v>26266700.29</v>
      </c>
      <c r="I28" s="21" t="n">
        <v>-28554850.33</v>
      </c>
      <c r="J28" s="29">
        <f>A28-A29</f>
        <v/>
      </c>
    </row>
    <row r="29">
      <c r="A29" s="28" t="n">
        <v>45950</v>
      </c>
      <c r="B29" s="25" t="inlineStr">
        <is>
          <t>142</t>
        </is>
      </c>
      <c r="C29" s="2" t="inlineStr">
        <is>
          <t>ספוט שקל</t>
        </is>
      </c>
      <c r="D29" s="2" t="inlineStr"/>
      <c r="E29" s="25" t="inlineStr">
        <is>
          <t>4400404</t>
        </is>
      </c>
      <c r="F29" s="25" t="inlineStr">
        <is>
          <t>4</t>
        </is>
      </c>
      <c r="H29" s="21" t="n">
        <v>26369707.17</v>
      </c>
      <c r="I29" s="21" t="n">
        <v>-2288150.04</v>
      </c>
      <c r="J29" s="29">
        <f>A29-A30</f>
        <v/>
      </c>
    </row>
    <row r="30">
      <c r="A30" s="28" t="n">
        <v>45947</v>
      </c>
      <c r="B30" s="25" t="inlineStr">
        <is>
          <t>452</t>
        </is>
      </c>
      <c r="C30" s="2" t="inlineStr">
        <is>
          <t>רכישה</t>
        </is>
      </c>
      <c r="D30" s="2" t="inlineStr"/>
      <c r="E30" s="25" t="inlineStr">
        <is>
          <t>4400403</t>
        </is>
      </c>
      <c r="F30" s="25" t="inlineStr">
        <is>
          <t>2</t>
        </is>
      </c>
      <c r="G30" s="21" t="n">
        <v>26369865.88</v>
      </c>
      <c r="I30" s="21" t="n">
        <v>-28657857.21</v>
      </c>
      <c r="J30" s="29">
        <f>A30-A31</f>
        <v/>
      </c>
    </row>
    <row r="31">
      <c r="A31" s="28" t="n">
        <v>45940</v>
      </c>
      <c r="B31" s="25" t="inlineStr">
        <is>
          <t>452</t>
        </is>
      </c>
      <c r="C31" s="2" t="inlineStr">
        <is>
          <t>ספוט שקל</t>
        </is>
      </c>
      <c r="D31" s="2" t="inlineStr"/>
      <c r="E31" s="25" t="inlineStr">
        <is>
          <t>4384156</t>
        </is>
      </c>
      <c r="F31" s="25" t="inlineStr">
        <is>
          <t>4</t>
        </is>
      </c>
      <c r="G31" s="21" t="n">
        <v>2287991.33</v>
      </c>
      <c r="I31" s="21" t="n">
        <v>-2287991.33</v>
      </c>
      <c r="J31" s="29">
        <f>A31-A32</f>
        <v/>
      </c>
    </row>
    <row r="32">
      <c r="A32" s="28" t="n">
        <v>45938</v>
      </c>
      <c r="B32" s="25" t="inlineStr">
        <is>
          <t>469</t>
        </is>
      </c>
      <c r="C32" s="2" t="inlineStr">
        <is>
          <t>הוראת-קבע</t>
        </is>
      </c>
      <c r="D32" s="2" t="inlineStr"/>
      <c r="E32" s="25" t="inlineStr">
        <is>
          <t>600463579</t>
        </is>
      </c>
      <c r="F32" s="25" t="inlineStr">
        <is>
          <t>33333</t>
        </is>
      </c>
      <c r="G32" s="21" t="n">
        <v>224436.59</v>
      </c>
      <c r="J32" s="29">
        <f>A32-A33</f>
        <v/>
      </c>
    </row>
    <row r="33">
      <c r="A33" s="28" t="n">
        <v>45938</v>
      </c>
      <c r="B33" s="25" t="inlineStr">
        <is>
          <t>452</t>
        </is>
      </c>
      <c r="C33" s="2" t="inlineStr">
        <is>
          <t>החלף מטבע</t>
        </is>
      </c>
      <c r="D33" s="2" t="inlineStr"/>
      <c r="E33" s="25" t="inlineStr">
        <is>
          <t>744881</t>
        </is>
      </c>
      <c r="F33" s="25" t="inlineStr">
        <is>
          <t>22</t>
        </is>
      </c>
      <c r="G33" s="21" t="n">
        <v>2063496.24</v>
      </c>
      <c r="I33" s="21" t="n">
        <v>224436.59</v>
      </c>
      <c r="J33" s="29">
        <f>A33-A34</f>
        <v/>
      </c>
    </row>
    <row r="34">
      <c r="A34" s="28" t="n">
        <v>45938</v>
      </c>
      <c r="B34" s="25" t="inlineStr">
        <is>
          <t>142</t>
        </is>
      </c>
      <c r="C34" s="2" t="inlineStr">
        <is>
          <t>המרה</t>
        </is>
      </c>
      <c r="D34" s="2" t="inlineStr"/>
      <c r="E34" s="25" t="inlineStr">
        <is>
          <t>4384155</t>
        </is>
      </c>
      <c r="F34" s="25" t="inlineStr">
        <is>
          <t>1</t>
        </is>
      </c>
      <c r="H34" s="21" t="n">
        <v>2287956.51</v>
      </c>
      <c r="I34" s="21" t="n">
        <v>2287932.83</v>
      </c>
      <c r="J34" s="29">
        <f>A34-A35</f>
        <v/>
      </c>
    </row>
    <row r="35">
      <c r="A35" s="28" t="n">
        <v>45936</v>
      </c>
      <c r="B35" s="25" t="inlineStr">
        <is>
          <t>472</t>
        </is>
      </c>
      <c r="C35" s="2" t="inlineStr">
        <is>
          <t>רבית (תאריך ערך: 03/10)</t>
        </is>
      </c>
      <c r="D35" s="2" t="inlineStr"/>
      <c r="E35" s="25" t="inlineStr">
        <is>
          <t>925</t>
        </is>
      </c>
      <c r="F35" s="25" t="inlineStr">
        <is>
          <t>0</t>
        </is>
      </c>
      <c r="G35" s="21" t="n">
        <v>23.68</v>
      </c>
      <c r="I35" s="21" t="n">
        <v>-23.68</v>
      </c>
      <c r="J35" s="29">
        <f>A35-A36</f>
        <v/>
      </c>
    </row>
    <row r="36">
      <c r="A36" s="28" t="n">
        <v>45930</v>
      </c>
      <c r="B36" s="25" t="inlineStr">
        <is>
          <t>469</t>
        </is>
      </c>
      <c r="C36" s="2" t="inlineStr">
        <is>
          <t>הוראת-קבע</t>
        </is>
      </c>
      <c r="D36" s="2" t="inlineStr"/>
      <c r="E36" s="25" t="inlineStr">
        <is>
          <t>600463579</t>
        </is>
      </c>
      <c r="F36" s="25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5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30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31" t="inlineStr">
        <is>
          <t>מספר חשבון 12-600-463560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7" t="inlineStr">
        <is>
          <t>תאריך</t>
        </is>
      </c>
      <c r="B6" s="32" t="inlineStr">
        <is>
          <t>קוד פעולה</t>
        </is>
      </c>
      <c r="C6" s="32" t="inlineStr">
        <is>
          <t>הפעולה</t>
        </is>
      </c>
      <c r="D6" s="32" t="inlineStr">
        <is>
          <t>פרטים</t>
        </is>
      </c>
      <c r="E6" s="32" t="inlineStr">
        <is>
          <t>אסמכתא</t>
        </is>
      </c>
      <c r="F6" s="32" t="inlineStr">
        <is>
          <t>צרור</t>
        </is>
      </c>
      <c r="G6" s="32" t="inlineStr">
        <is>
          <t>חובה</t>
        </is>
      </c>
      <c r="H6" s="32" t="inlineStr">
        <is>
          <t>זכות</t>
        </is>
      </c>
      <c r="I6" s="32" t="inlineStr">
        <is>
          <t>יתרה בש"ח</t>
        </is>
      </c>
      <c r="J6" s="27" t="inlineStr">
        <is>
          <t>מספר ימים</t>
        </is>
      </c>
      <c r="K6" s="33">
        <f>$L$2+$L$3</f>
        <v/>
      </c>
      <c r="L6" s="33">
        <f>$M$2+$L$3</f>
        <v/>
      </c>
    </row>
    <row r="7">
      <c r="A7" s="28" t="n">
        <v>46023</v>
      </c>
    </row>
    <row r="8">
      <c r="A8" s="28" t="n">
        <v>46022</v>
      </c>
      <c r="B8" s="25" t="inlineStr">
        <is>
          <t>469</t>
        </is>
      </c>
      <c r="C8" s="2" t="inlineStr">
        <is>
          <t>הוראת-קבע</t>
        </is>
      </c>
      <c r="D8" s="2" t="inlineStr"/>
      <c r="E8" s="25" t="inlineStr">
        <is>
          <t>600463579</t>
        </is>
      </c>
      <c r="F8" s="25" t="inlineStr">
        <is>
          <t>33333</t>
        </is>
      </c>
      <c r="G8" s="21" t="n">
        <v>2146408.29</v>
      </c>
      <c r="J8" s="29">
        <f>A7-A8</f>
        <v/>
      </c>
      <c r="K8" s="19">
        <f>IFERROR(($K$6/365*I8*J8),"")</f>
        <v/>
      </c>
    </row>
    <row r="9">
      <c r="A9" s="28" t="n">
        <v>46021</v>
      </c>
      <c r="B9" s="25" t="inlineStr">
        <is>
          <t>452</t>
        </is>
      </c>
      <c r="C9" s="2" t="inlineStr">
        <is>
          <t>החלף ריבית</t>
        </is>
      </c>
      <c r="D9" s="2" t="inlineStr"/>
      <c r="E9" s="25" t="inlineStr">
        <is>
          <t>786124</t>
        </is>
      </c>
      <c r="F9" s="25" t="inlineStr">
        <is>
          <t>20</t>
        </is>
      </c>
      <c r="G9" s="21" t="n">
        <v>464423.26</v>
      </c>
      <c r="J9" s="29">
        <f>A8-A9</f>
        <v/>
      </c>
      <c r="K9" s="19">
        <f>IFERROR(($K$6/365*I9*J9),"")</f>
        <v/>
      </c>
    </row>
    <row r="10">
      <c r="A10" s="28" t="n">
        <v>45981</v>
      </c>
      <c r="B10" s="25" t="inlineStr">
        <is>
          <t>469</t>
        </is>
      </c>
      <c r="C10" s="2" t="inlineStr">
        <is>
          <t>הוראת-קבע</t>
        </is>
      </c>
      <c r="D10" s="2" t="inlineStr"/>
      <c r="E10" s="25" t="inlineStr">
        <is>
          <t>600463579</t>
        </is>
      </c>
      <c r="F10" s="25" t="inlineStr">
        <is>
          <t>33333</t>
        </is>
      </c>
      <c r="G10" s="21" t="n">
        <v>-987784.48</v>
      </c>
      <c r="J10" s="29">
        <f>A9-A10</f>
        <v/>
      </c>
      <c r="K10" s="19">
        <f>IFERROR(($K$6/365*I10*J10),"")</f>
        <v/>
      </c>
    </row>
    <row r="11">
      <c r="A11" s="28" t="n">
        <v>45973</v>
      </c>
      <c r="B11" s="25" t="inlineStr">
        <is>
          <t>142</t>
        </is>
      </c>
      <c r="C11" s="2" t="inlineStr">
        <is>
          <t>פורוורד שקל</t>
        </is>
      </c>
      <c r="D11" s="2" t="inlineStr"/>
      <c r="E11" s="25" t="inlineStr">
        <is>
          <t>4430240</t>
        </is>
      </c>
      <c r="F11" s="25" t="inlineStr">
        <is>
          <t>6</t>
        </is>
      </c>
      <c r="H11" s="21" t="n">
        <v>159389620.24</v>
      </c>
      <c r="I11" s="21" t="n">
        <v>-987784.48</v>
      </c>
      <c r="J11" s="29">
        <f>A10-A11</f>
        <v/>
      </c>
      <c r="K11" s="19">
        <f>IFERROR(($K$6/365*I11*J11),"")</f>
        <v/>
      </c>
    </row>
    <row r="12">
      <c r="A12" s="28" t="n">
        <v>45968</v>
      </c>
      <c r="B12" s="25" t="inlineStr">
        <is>
          <t>142</t>
        </is>
      </c>
      <c r="C12" s="2" t="inlineStr">
        <is>
          <t>ספוט שקל</t>
        </is>
      </c>
      <c r="D12" s="2" t="inlineStr"/>
      <c r="E12" s="25" t="inlineStr">
        <is>
          <t>4441104</t>
        </is>
      </c>
      <c r="F12" s="25" t="inlineStr">
        <is>
          <t>4</t>
        </is>
      </c>
      <c r="H12" s="21" t="n">
        <v>86033735.28</v>
      </c>
      <c r="I12" s="21" t="n">
        <v>-160377404.72</v>
      </c>
      <c r="J12" s="29">
        <f>A11-A12</f>
        <v/>
      </c>
      <c r="K12" s="19">
        <f>IFERROR(($K$6/365*I12*J12),"")</f>
        <v/>
      </c>
    </row>
    <row r="13">
      <c r="A13" s="28" t="n">
        <v>45967</v>
      </c>
      <c r="B13" s="25" t="inlineStr">
        <is>
          <t>452</t>
        </is>
      </c>
      <c r="C13" s="2" t="inlineStr">
        <is>
          <t>רכישה</t>
        </is>
      </c>
      <c r="D13" s="2" t="inlineStr"/>
      <c r="E13" s="25" t="inlineStr">
        <is>
          <t>4441103</t>
        </is>
      </c>
      <c r="F13" s="25" t="inlineStr">
        <is>
          <t>2</t>
        </is>
      </c>
      <c r="G13" s="21" t="n">
        <v>86034000</v>
      </c>
      <c r="I13" s="21" t="n">
        <v>-246411140</v>
      </c>
      <c r="J13" s="29">
        <f>A12-A13</f>
        <v/>
      </c>
      <c r="K13" s="19">
        <f>IFERROR(($K$6/365*I13*J13),"")</f>
        <v/>
      </c>
    </row>
    <row r="14">
      <c r="A14" s="28" t="n">
        <v>45966</v>
      </c>
      <c r="B14" s="25" t="inlineStr">
        <is>
          <t>469</t>
        </is>
      </c>
      <c r="C14" s="2" t="inlineStr">
        <is>
          <t>הוראת-קבע</t>
        </is>
      </c>
      <c r="D14" s="2" t="inlineStr"/>
      <c r="E14" s="25" t="inlineStr">
        <is>
          <t>600463579</t>
        </is>
      </c>
      <c r="F14" s="25" t="inlineStr">
        <is>
          <t>33333</t>
        </is>
      </c>
      <c r="G14" s="21" t="n">
        <v>996837.6</v>
      </c>
      <c r="J14" s="29">
        <f>A13-A14</f>
        <v/>
      </c>
      <c r="K14" s="19">
        <f>IFERROR(($K$6/365*I14*J14),"")</f>
        <v/>
      </c>
    </row>
    <row r="15">
      <c r="A15" s="28" t="n">
        <v>45965</v>
      </c>
      <c r="B15" s="25" t="inlineStr">
        <is>
          <t>469</t>
        </is>
      </c>
      <c r="C15" s="2" t="inlineStr">
        <is>
          <t>הוראת-קבע</t>
        </is>
      </c>
      <c r="D15" s="2" t="inlineStr"/>
      <c r="E15" s="25" t="inlineStr">
        <is>
          <t>600463579</t>
        </is>
      </c>
      <c r="F15" s="25" t="inlineStr">
        <is>
          <t>33333</t>
        </is>
      </c>
      <c r="G15" s="21" t="n">
        <v>8827.25</v>
      </c>
      <c r="J15" s="29">
        <f>A14-A15</f>
        <v/>
      </c>
      <c r="K15" s="19">
        <f>IFERROR(($K$6/365*I15*J15),"")</f>
        <v/>
      </c>
    </row>
    <row r="16">
      <c r="A16" s="28" t="n">
        <v>45961</v>
      </c>
      <c r="B16" s="25" t="inlineStr">
        <is>
          <t>452</t>
        </is>
      </c>
      <c r="C16" s="2" t="inlineStr">
        <is>
          <t>רכישה</t>
        </is>
      </c>
      <c r="D16" s="2" t="inlineStr"/>
      <c r="E16" s="25" t="inlineStr">
        <is>
          <t>4427952</t>
        </is>
      </c>
      <c r="F16" s="25" t="inlineStr">
        <is>
          <t>2</t>
        </is>
      </c>
      <c r="G16" s="21" t="n">
        <v>159380793.16</v>
      </c>
      <c r="I16" s="21" t="n">
        <v>-159380793.16</v>
      </c>
      <c r="J16" s="29">
        <f>A15-A16</f>
        <v/>
      </c>
      <c r="K16" s="19">
        <f>IFERROR(($K$6/365*I16*J16),"")</f>
        <v/>
      </c>
    </row>
    <row r="17">
      <c r="A17" s="28" t="n">
        <v>45952</v>
      </c>
      <c r="B17" s="25" t="inlineStr">
        <is>
          <t>469</t>
        </is>
      </c>
      <c r="C17" s="2" t="inlineStr">
        <is>
          <t>הוראת-קבע</t>
        </is>
      </c>
      <c r="D17" s="2" t="inlineStr"/>
      <c r="E17" s="25" t="inlineStr">
        <is>
          <t>600463579</t>
        </is>
      </c>
      <c r="F17" s="25" t="inlineStr">
        <is>
          <t>33333</t>
        </is>
      </c>
      <c r="G17" s="21" t="n">
        <v>-2288234.4</v>
      </c>
      <c r="J17" s="29">
        <f>A16-A17</f>
        <v/>
      </c>
      <c r="K17" s="19">
        <f>IFERROR(($K$6/365*I17*J17),"")</f>
        <v/>
      </c>
    </row>
    <row r="18">
      <c r="A18" s="28" t="n">
        <v>45951</v>
      </c>
      <c r="B18" s="25" t="inlineStr">
        <is>
          <t>142</t>
        </is>
      </c>
      <c r="C18" s="2" t="inlineStr">
        <is>
          <t>ספוט שקל</t>
        </is>
      </c>
      <c r="D18" s="2" t="inlineStr"/>
      <c r="E18" s="25" t="inlineStr">
        <is>
          <t>4402763</t>
        </is>
      </c>
      <c r="F18" s="25" t="inlineStr">
        <is>
          <t>4</t>
        </is>
      </c>
      <c r="H18" s="21" t="n">
        <v>26266620.93</v>
      </c>
      <c r="I18" s="21" t="n">
        <v>-2288234.4</v>
      </c>
      <c r="J18" s="29">
        <f>A17-A18</f>
        <v/>
      </c>
      <c r="K18" s="19">
        <f>IFERROR(($K$6/365*I18*J18),"")</f>
        <v/>
      </c>
    </row>
    <row r="19">
      <c r="A19" s="28" t="n">
        <v>45950</v>
      </c>
      <c r="B19" s="25" t="inlineStr">
        <is>
          <t>471</t>
        </is>
      </c>
      <c r="C19" s="2" t="inlineStr">
        <is>
          <t>ניע עמלת העברה</t>
        </is>
      </c>
      <c r="D19" s="2" t="inlineStr"/>
      <c r="E19" s="25" t="inlineStr">
        <is>
          <t>72985955</t>
        </is>
      </c>
      <c r="F19" s="25" t="inlineStr">
        <is>
          <t>1080</t>
        </is>
      </c>
      <c r="G19" s="21" t="n">
        <v>5</v>
      </c>
      <c r="I19" s="21" t="n">
        <v>-28554855.33</v>
      </c>
      <c r="J19" s="29">
        <f>A18-A19</f>
        <v/>
      </c>
      <c r="K19" s="19">
        <f>IFERROR(($K$6/365*I19*J19),"")</f>
        <v/>
      </c>
    </row>
    <row r="20">
      <c r="A20" s="28" t="n">
        <v>45947</v>
      </c>
      <c r="B20" s="25" t="inlineStr">
        <is>
          <t>452</t>
        </is>
      </c>
      <c r="C20" s="2" t="inlineStr">
        <is>
          <t>רכישה</t>
        </is>
      </c>
      <c r="D20" s="2" t="inlineStr"/>
      <c r="E20" s="25" t="inlineStr">
        <is>
          <t>4400403</t>
        </is>
      </c>
      <c r="F20" s="25" t="inlineStr">
        <is>
          <t>2</t>
        </is>
      </c>
      <c r="G20" s="21" t="n">
        <v>26369865.88</v>
      </c>
      <c r="I20" s="21" t="n">
        <v>-28657857.21</v>
      </c>
      <c r="J20" s="29">
        <f>A19-A20</f>
        <v/>
      </c>
      <c r="K20" s="19">
        <f>IFERROR(($K$6/365*I20*J20),"")</f>
        <v/>
      </c>
    </row>
    <row r="21">
      <c r="A21" s="28" t="n">
        <v>45940</v>
      </c>
      <c r="B21" s="25" t="inlineStr">
        <is>
          <t>452</t>
        </is>
      </c>
      <c r="C21" s="2" t="inlineStr">
        <is>
          <t>ספוט שקל</t>
        </is>
      </c>
      <c r="D21" s="2" t="inlineStr"/>
      <c r="E21" s="25" t="inlineStr">
        <is>
          <t>4384156</t>
        </is>
      </c>
      <c r="F21" s="25" t="inlineStr">
        <is>
          <t>4</t>
        </is>
      </c>
      <c r="G21" s="21" t="n">
        <v>2287991.33</v>
      </c>
      <c r="I21" s="21" t="n">
        <v>-2287991.33</v>
      </c>
      <c r="J21" s="29">
        <f>A20-A21</f>
        <v/>
      </c>
      <c r="K21" s="19">
        <f>IFERROR(($K$6/365*I21*J21),"")</f>
        <v/>
      </c>
    </row>
    <row r="22">
      <c r="A22" s="28" t="n">
        <v>45938</v>
      </c>
      <c r="B22" s="25" t="inlineStr">
        <is>
          <t>469</t>
        </is>
      </c>
      <c r="C22" s="2" t="inlineStr">
        <is>
          <t>הוראת-קבע</t>
        </is>
      </c>
      <c r="D22" s="2" t="inlineStr"/>
      <c r="E22" s="25" t="inlineStr">
        <is>
          <t>600463579</t>
        </is>
      </c>
      <c r="F22" s="25" t="inlineStr">
        <is>
          <t>33333</t>
        </is>
      </c>
      <c r="G22" s="21" t="n">
        <v>224436.59</v>
      </c>
      <c r="J22" s="29">
        <f>A21-A22</f>
        <v/>
      </c>
      <c r="K22" s="19">
        <f>IFERROR(($K$6/365*I22*J22),"")</f>
        <v/>
      </c>
    </row>
    <row r="23">
      <c r="A23" s="28" t="n">
        <v>45936</v>
      </c>
      <c r="B23" s="25" t="inlineStr">
        <is>
          <t>472</t>
        </is>
      </c>
      <c r="C23" s="2" t="inlineStr">
        <is>
          <t>רבית (תאריך ערך: 03/10)</t>
        </is>
      </c>
      <c r="D23" s="2" t="inlineStr"/>
      <c r="E23" s="25" t="inlineStr">
        <is>
          <t>925</t>
        </is>
      </c>
      <c r="F23" s="25" t="inlineStr">
        <is>
          <t>0</t>
        </is>
      </c>
      <c r="G23" s="21" t="n">
        <v>23.68</v>
      </c>
      <c r="I23" s="21" t="n">
        <v>-23.68</v>
      </c>
      <c r="J23" s="29">
        <f>A22-A23</f>
        <v/>
      </c>
      <c r="K23" s="19">
        <f>IFERROR(($K$6/365*I23*J23),"")</f>
        <v/>
      </c>
    </row>
    <row r="24">
      <c r="A24" s="28" t="n">
        <v>45930</v>
      </c>
      <c r="B24" s="25" t="inlineStr">
        <is>
          <t>469</t>
        </is>
      </c>
      <c r="C24" s="2" t="inlineStr">
        <is>
          <t>הוראת-קבע</t>
        </is>
      </c>
      <c r="D24" s="2" t="inlineStr"/>
      <c r="E24" s="25" t="inlineStr">
        <is>
          <t>600463579</t>
        </is>
      </c>
      <c r="F24" s="25" t="inlineStr">
        <is>
          <t>33333</t>
        </is>
      </c>
      <c r="G24" s="21" t="n">
        <v>230530.78</v>
      </c>
      <c r="J24" s="29">
        <f>A23-A24</f>
        <v/>
      </c>
      <c r="K24" s="19">
        <f>IFERROR(($K$6/365*I24*J24),"")</f>
        <v/>
      </c>
    </row>
    <row r="25">
      <c r="K25" s="22">
        <f>SUM(K8:K24)</f>
        <v/>
      </c>
      <c r="L25" s="4" t="inlineStr">
        <is>
          <t>ריבית מחושבת</t>
        </is>
      </c>
    </row>
    <row r="26">
      <c r="K26" s="34">
        <f>-INT('פירוט ריבית חובה לפי PDF'!G31)</f>
        <v/>
      </c>
      <c r="L26" s="2" t="inlineStr">
        <is>
          <t>ריבית שירדה בפועל</t>
        </is>
      </c>
    </row>
    <row r="27">
      <c r="K27" s="20">
        <f>K25-K26</f>
        <v/>
      </c>
      <c r="L27" s="35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2026-03-11T11:37:47Z</dcterms:created>
  <dcterms:modified xsi:type="dcterms:W3CDTF">2026-03-11T11:37:47Z</dcterms:modified>
</cp:coreProperties>
</file>