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פירוט ריבית חובה לפי PDF" sheetId="1" state="visible" r:id="rId1"/>
    <sheet xmlns:r="http://schemas.openxmlformats.org/officeDocument/2006/relationships" name="בנק" sheetId="2" state="visible" r:id="rId2"/>
    <sheet xmlns:r="http://schemas.openxmlformats.org/officeDocument/2006/relationships" name="חישוב החזר לפי יתרות בבנ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/YY"/>
    <numFmt numFmtId="166" formatCode="_ * #,##0.0_"/>
    <numFmt numFmtId="167" formatCode="DD.MM.YYYY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1"/>
    </font>
    <font>
      <name val="Arial"/>
      <b val="1"/>
      <sz val="12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FFFF00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general" vertical="bottom" readingOrder="2"/>
    </xf>
    <xf numFmtId="0" fontId="2" fillId="0" borderId="0" applyAlignment="1" pivotButton="0" quotePrefix="0" xfId="0">
      <alignment horizontal="general" vertical="bottom" readingOrder="2"/>
    </xf>
    <xf numFmtId="0" fontId="3" fillId="0" borderId="0" applyAlignment="1" pivotButton="0" quotePrefix="0" xfId="0">
      <alignment horizontal="center" vertical="bottom" readingOrder="2"/>
    </xf>
    <xf numFmtId="0" fontId="3" fillId="0" borderId="0" applyAlignment="1" pivotButton="0" quotePrefix="0" xfId="0">
      <alignment horizontal="general" vertical="bottom" readingOrder="2"/>
    </xf>
    <xf numFmtId="10" fontId="2" fillId="0" borderId="0" applyAlignment="1" pivotButton="0" quotePrefix="0" xfId="0">
      <alignment horizontal="center" vertical="bottom" readingOrder="2"/>
    </xf>
    <xf numFmtId="2" fontId="2" fillId="0" borderId="0" applyAlignment="1" pivotButton="0" quotePrefix="0" xfId="0">
      <alignment horizontal="center" vertical="bottom" readingOrder="2"/>
    </xf>
    <xf numFmtId="10" fontId="2" fillId="2" borderId="0" applyAlignment="1" pivotButton="0" quotePrefix="0" xfId="0">
      <alignment horizontal="center" vertical="bottom" readingOrder="2"/>
    </xf>
    <xf numFmtId="0" fontId="4" fillId="0" borderId="0" applyAlignment="1" pivotButton="0" quotePrefix="0" xfId="0">
      <alignment horizontal="general" vertical="bottom" wrapText="1" readingOrder="2"/>
    </xf>
    <xf numFmtId="0" fontId="3" fillId="3" borderId="1" applyAlignment="1" pivotButton="0" quotePrefix="0" xfId="0">
      <alignment horizontal="center" vertical="bottom" readingOrder="2"/>
    </xf>
    <xf numFmtId="0" fontId="3" fillId="4" borderId="1" applyAlignment="1" pivotButton="0" quotePrefix="0" xfId="0">
      <alignment horizontal="center" vertical="bottom" readingOrder="2"/>
    </xf>
    <xf numFmtId="10" fontId="3" fillId="0" borderId="0" applyAlignment="1" pivotButton="0" quotePrefix="0" xfId="0">
      <alignment horizontal="center" vertical="bottom" readingOrder="2"/>
    </xf>
    <xf numFmtId="165" fontId="2" fillId="0" borderId="1" applyAlignment="1" pivotButton="0" quotePrefix="0" xfId="0">
      <alignment horizontal="general" vertical="bottom" readingOrder="2"/>
    </xf>
    <xf numFmtId="0" fontId="2" fillId="0" borderId="1" applyAlignment="1" pivotButton="0" quotePrefix="0" xfId="0">
      <alignment horizontal="general" vertical="bottom" readingOrder="2"/>
    </xf>
    <xf numFmtId="0" fontId="0" fillId="0" borderId="1" pivotButton="0" quotePrefix="0" xfId="0"/>
    <xf numFmtId="1" fontId="0" fillId="0" borderId="0" applyAlignment="1" pivotButton="0" quotePrefix="0" xfId="0">
      <alignment horizontal="center" vertical="bottom" readingOrder="2"/>
    </xf>
    <xf numFmtId="3" fontId="2" fillId="0" borderId="1" applyAlignment="1" pivotButton="0" quotePrefix="0" xfId="0">
      <alignment horizontal="right" vertical="bottom" readingOrder="2"/>
    </xf>
    <xf numFmtId="10" fontId="2" fillId="0" borderId="1" applyAlignment="1" pivotButton="0" quotePrefix="0" xfId="0">
      <alignment horizontal="center" vertical="bottom" readingOrder="2"/>
    </xf>
    <xf numFmtId="166" fontId="2" fillId="0" borderId="1" applyAlignment="1" pivotButton="0" quotePrefix="0" xfId="0">
      <alignment horizontal="right" vertical="bottom" readingOrder="2"/>
    </xf>
    <xf numFmtId="4" fontId="2" fillId="0" borderId="1" applyAlignment="1" pivotButton="0" quotePrefix="0" xfId="0">
      <alignment horizontal="right" vertical="bottom" readingOrder="2"/>
    </xf>
    <xf numFmtId="4" fontId="0" fillId="0" borderId="0" applyAlignment="1" pivotButton="0" quotePrefix="0" xfId="0">
      <alignment horizontal="right" vertical="bottom" readingOrder="2"/>
    </xf>
    <xf numFmtId="4" fontId="2" fillId="0" borderId="0" applyAlignment="1" pivotButton="0" quotePrefix="0" xfId="0">
      <alignment horizontal="right" vertical="bottom" readingOrder="2"/>
    </xf>
    <xf numFmtId="4" fontId="3" fillId="4" borderId="0" applyAlignment="1" pivotButton="0" quotePrefix="0" xfId="0">
      <alignment horizontal="right" vertical="bottom" readingOrder="2"/>
    </xf>
    <xf numFmtId="4" fontId="3" fillId="0" borderId="0" applyAlignment="1" pivotButton="0" quotePrefix="0" xfId="0">
      <alignment horizontal="right" vertical="bottom" readingOrder="2"/>
    </xf>
    <xf numFmtId="0" fontId="2" fillId="4" borderId="0" applyAlignment="1" pivotButton="0" quotePrefix="0" xfId="0">
      <alignment horizontal="general" vertical="bottom" wrapText="1" readingOrder="2"/>
    </xf>
    <xf numFmtId="0" fontId="2" fillId="0" borderId="0" applyAlignment="1" pivotButton="0" quotePrefix="0" xfId="0">
      <alignment horizontal="general" vertical="bottom" wrapText="1" readingOrder="2"/>
    </xf>
    <xf numFmtId="0" fontId="2" fillId="0" borderId="0" applyAlignment="1" pivotButton="0" quotePrefix="0" xfId="0">
      <alignment horizontal="center" vertical="bottom" readingOrder="2"/>
    </xf>
    <xf numFmtId="0" fontId="4" fillId="0" borderId="0" applyAlignment="1" pivotButton="0" quotePrefix="0" xfId="0">
      <alignment horizontal="general" vertical="bottom" readingOrder="2"/>
    </xf>
    <xf numFmtId="0" fontId="3" fillId="5" borderId="1" applyAlignment="1" pivotButton="0" quotePrefix="0" xfId="0">
      <alignment horizontal="center" vertical="bottom" readingOrder="2"/>
    </xf>
    <xf numFmtId="167" fontId="2" fillId="0" borderId="0" applyAlignment="1" pivotButton="0" quotePrefix="0" xfId="0">
      <alignment horizontal="center" vertical="bottom" readingOrder="2"/>
    </xf>
    <xf numFmtId="4" fontId="0" fillId="0" borderId="0" pivotButton="0" quotePrefix="0" xfId="0"/>
    <xf numFmtId="0" fontId="3" fillId="4" borderId="0" applyAlignment="1" pivotButton="0" quotePrefix="0" xfId="0">
      <alignment horizontal="general" vertical="bottom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22" customWidth="1" min="4" max="4"/>
    <col width="18" customWidth="1" min="5" max="5"/>
    <col width="14" customWidth="1" min="6" max="6"/>
    <col width="20" customWidth="1" min="7" max="7"/>
    <col width="18" customWidth="1" min="8" max="8"/>
    <col width="14" customWidth="1" min="9" max="9"/>
    <col width="14" customWidth="1" min="10" max="10"/>
    <col width="20" customWidth="1" min="11" max="11"/>
    <col width="14" customWidth="1" min="12" max="12"/>
  </cols>
  <sheetData>
    <row r="1">
      <c r="A1" s="1" t="inlineStr">
        <is>
          <t>בנק הפועלים</t>
        </is>
      </c>
      <c r="F1" s="2" t="inlineStr">
        <is>
          <t>ארביטראז' גלובל אל פי</t>
        </is>
      </c>
      <c r="I1" s="3" t="inlineStr">
        <is>
          <t>תקופה 1</t>
        </is>
      </c>
      <c r="J1" s="3" t="inlineStr">
        <is>
          <t>תקופה 2</t>
        </is>
      </c>
      <c r="K1" s="3" t="inlineStr">
        <is>
          <t>תאריך שינוי ריבית</t>
        </is>
      </c>
    </row>
    <row r="2">
      <c r="A2" s="2" t="inlineStr">
        <is>
          <t>סניף מרכז תפעולי עסקי 600</t>
        </is>
      </c>
      <c r="F2" s="2" t="inlineStr">
        <is>
          <t>דרך בגין 144</t>
        </is>
      </c>
      <c r="H2" s="4" t="inlineStr">
        <is>
          <t>ריבית בנק ישראל</t>
        </is>
      </c>
      <c r="I2" s="5" t="n">
        <v>0.045</v>
      </c>
      <c r="J2" s="5" t="n">
        <v>0.0425</v>
      </c>
      <c r="K2" s="6" t="n">
        <v>27.11</v>
      </c>
    </row>
    <row r="3">
      <c r="A3" s="2" t="inlineStr">
        <is>
          <t>מס: 03-6532407</t>
        </is>
      </c>
      <c r="F3" s="2" t="inlineStr">
        <is>
          <t>תל אביב - יפו</t>
        </is>
      </c>
      <c r="H3" s="4" t="inlineStr">
        <is>
          <t>מרווח ריבית חובה</t>
        </is>
      </c>
      <c r="I3" s="7" t="n">
        <v>0.0035</v>
      </c>
    </row>
    <row r="4">
      <c r="A4" s="2" t="inlineStr">
        <is>
          <t>מס חשבון 463560</t>
        </is>
      </c>
      <c r="F4" s="2" t="inlineStr">
        <is>
          <t>6492102</t>
        </is>
      </c>
      <c r="H4" s="4" t="inlineStr">
        <is>
          <t>מרווח ריבית זכות</t>
        </is>
      </c>
      <c r="I4" s="7" t="n">
        <v>-0.006</v>
      </c>
    </row>
    <row r="5">
      <c r="A5" s="2" t="inlineStr">
        <is>
          <t>תאריך הדפסה 02/01/26</t>
        </is>
      </c>
    </row>
    <row r="7">
      <c r="A7" s="8" t="inlineStr">
        <is>
          <t>הנדון: פירוט חיוב הריבית מיום 01/01/26 לתקופה 01/10/25 - 31/12/25</t>
        </is>
      </c>
    </row>
    <row r="8">
      <c r="K8" s="2" t="inlineStr">
        <is>
          <t>אם יש יתרות זכות אז יחושב פה</t>
        </is>
      </c>
    </row>
    <row r="9">
      <c r="A9" s="9" t="inlineStr">
        <is>
          <t>מתאריך</t>
        </is>
      </c>
      <c r="B9" s="9" t="inlineStr">
        <is>
          <t>עד תאריך</t>
        </is>
      </c>
      <c r="C9" s="9" t="inlineStr">
        <is>
          <t>מסגרת חח"ד</t>
        </is>
      </c>
      <c r="D9" s="9" t="inlineStr">
        <is>
          <t>מסגרת נוספת חד-צדדית</t>
        </is>
      </c>
      <c r="E9" s="9" t="inlineStr">
        <is>
          <t>גובה המדרגה (ש"ח)</t>
        </is>
      </c>
      <c r="F9" s="9" t="inlineStr">
        <is>
          <t>אחוז ריבית</t>
        </is>
      </c>
      <c r="G9" s="10" t="inlineStr">
        <is>
          <t>מספרי חובה</t>
        </is>
      </c>
      <c r="H9" s="9" t="inlineStr">
        <is>
          <t>ריבית חובה (ש"ח)</t>
        </is>
      </c>
      <c r="J9" s="11">
        <f>$I$2+$I$3</f>
        <v/>
      </c>
      <c r="K9" s="11">
        <f>$J$2+$I$3</f>
        <v/>
      </c>
    </row>
    <row r="10">
      <c r="A10" s="12" t="n">
        <v>45931</v>
      </c>
      <c r="B10" s="12" t="n">
        <v>45961</v>
      </c>
      <c r="C10" s="13" t="inlineStr">
        <is>
          <t>13,000,000 ש"ח</t>
        </is>
      </c>
      <c r="D10" s="14" t="n"/>
      <c r="E10" s="14" t="n"/>
      <c r="F10" s="14" t="n"/>
      <c r="G10" s="14" t="n"/>
      <c r="H10" s="14" t="n"/>
      <c r="I10" s="15">
        <f>B10-A10</f>
        <v/>
      </c>
    </row>
    <row r="11">
      <c r="A11" s="13" t="inlineStr">
        <is>
          <t>מדרגה 1</t>
        </is>
      </c>
      <c r="B11" s="14" t="n"/>
      <c r="C11" s="14" t="n"/>
      <c r="D11" s="14" t="n"/>
      <c r="E11" s="16" t="n">
        <v>13000000</v>
      </c>
      <c r="F11" s="17" t="n">
        <v>0.049</v>
      </c>
      <c r="G11" s="18" t="n">
        <v>83304292.11</v>
      </c>
      <c r="H11" s="19" t="n">
        <v>11183.32</v>
      </c>
      <c r="J11" s="20">
        <f>($J$9-F11)*G11/365</f>
        <v/>
      </c>
    </row>
    <row r="12">
      <c r="A12" s="13" t="inlineStr">
        <is>
          <t>חריגה</t>
        </is>
      </c>
      <c r="B12" s="14" t="n"/>
      <c r="C12" s="14" t="n"/>
      <c r="D12" s="14" t="n"/>
      <c r="F12" s="17" t="n">
        <v>0.049</v>
      </c>
      <c r="G12" s="18" t="n">
        <v>208909220.12</v>
      </c>
      <c r="H12" s="19" t="n">
        <v>28045.35</v>
      </c>
      <c r="J12" s="20">
        <f>($J$9-F12)*G12/365</f>
        <v/>
      </c>
    </row>
    <row r="13">
      <c r="A13" s="12" t="n">
        <v>45962</v>
      </c>
      <c r="B13" s="12" t="n">
        <v>45986</v>
      </c>
      <c r="C13" s="13" t="inlineStr">
        <is>
          <t>13,000,000 ש"ח</t>
        </is>
      </c>
      <c r="D13" s="14" t="n"/>
      <c r="E13" s="14" t="n"/>
      <c r="F13" s="14" t="n"/>
      <c r="G13" s="14" t="n"/>
      <c r="H13" s="14" t="n"/>
      <c r="I13" s="15">
        <f>B13-A13</f>
        <v/>
      </c>
    </row>
    <row r="14">
      <c r="A14" s="13" t="inlineStr">
        <is>
          <t>מדרגה 1</t>
        </is>
      </c>
      <c r="B14" s="14" t="n"/>
      <c r="C14" s="14" t="n"/>
      <c r="D14" s="14" t="n"/>
      <c r="E14" s="16" t="n">
        <v>13000000</v>
      </c>
      <c r="F14" s="17" t="n">
        <v>0.049</v>
      </c>
      <c r="G14" s="18" t="n">
        <v>124902275.84</v>
      </c>
      <c r="H14" s="19" t="n">
        <v>16767.7</v>
      </c>
      <c r="J14" s="20">
        <f>($J$9-F14)*G14/365</f>
        <v/>
      </c>
    </row>
    <row r="15">
      <c r="A15" s="13" t="inlineStr">
        <is>
          <t>חריגה</t>
        </is>
      </c>
      <c r="B15" s="14" t="n"/>
      <c r="C15" s="14" t="n"/>
      <c r="D15" s="14" t="n"/>
      <c r="F15" s="17" t="n">
        <v>0.049</v>
      </c>
      <c r="G15" s="18" t="n">
        <v>1409440543.08</v>
      </c>
      <c r="H15" s="19" t="n">
        <v>189212.57</v>
      </c>
      <c r="J15" s="20">
        <f>($J$9-F15)*G15/365</f>
        <v/>
      </c>
    </row>
    <row r="16">
      <c r="A16" s="12" t="n">
        <v>45987</v>
      </c>
      <c r="B16" s="12" t="n">
        <v>45987</v>
      </c>
      <c r="C16" s="13" t="inlineStr">
        <is>
          <t>10,100,000 ש"ח</t>
        </is>
      </c>
      <c r="D16" s="14" t="n"/>
      <c r="E16" s="14" t="n"/>
      <c r="F16" s="14" t="n"/>
      <c r="G16" s="14" t="n"/>
      <c r="H16" s="14" t="n"/>
      <c r="I16" s="15">
        <f>B16-A16</f>
        <v/>
      </c>
    </row>
    <row r="17">
      <c r="A17" s="13" t="inlineStr">
        <is>
          <t>מדרגה 1</t>
        </is>
      </c>
      <c r="B17" s="14" t="n"/>
      <c r="C17" s="14" t="n"/>
      <c r="D17" s="14" t="n"/>
      <c r="E17" s="16" t="n">
        <v>10100000</v>
      </c>
      <c r="F17" s="17" t="n">
        <v>0.049</v>
      </c>
      <c r="G17" s="18" t="n">
        <v>0</v>
      </c>
      <c r="H17" s="19" t="n">
        <v>0</v>
      </c>
      <c r="K17" s="20">
        <f>($K$9-F17)*G17/365</f>
        <v/>
      </c>
    </row>
    <row r="18">
      <c r="A18" s="13" t="inlineStr">
        <is>
          <t>חריגה</t>
        </is>
      </c>
      <c r="B18" s="14" t="n"/>
      <c r="C18" s="14" t="n"/>
      <c r="D18" s="14" t="n"/>
      <c r="F18" s="17" t="n">
        <v>0.049</v>
      </c>
      <c r="G18" s="18" t="n">
        <v>0</v>
      </c>
      <c r="H18" s="19" t="n">
        <v>0</v>
      </c>
      <c r="K18" s="20">
        <f>($K$9-F18)*G18/365</f>
        <v/>
      </c>
    </row>
    <row r="19">
      <c r="A19" s="12" t="n">
        <v>45988</v>
      </c>
      <c r="B19" s="12" t="n">
        <v>45991</v>
      </c>
      <c r="C19" s="13" t="inlineStr">
        <is>
          <t>10,100,000 ש"ח</t>
        </is>
      </c>
      <c r="D19" s="14" t="n"/>
      <c r="E19" s="14" t="n"/>
      <c r="F19" s="14" t="n"/>
      <c r="G19" s="14" t="n"/>
      <c r="H19" s="14" t="n"/>
      <c r="I19" s="15">
        <f>B19-A19</f>
        <v/>
      </c>
    </row>
    <row r="20">
      <c r="A20" s="13" t="inlineStr">
        <is>
          <t>מדרגה 1</t>
        </is>
      </c>
      <c r="B20" s="14" t="n"/>
      <c r="C20" s="14" t="n"/>
      <c r="D20" s="14" t="n"/>
      <c r="E20" s="16" t="n">
        <v>10100000</v>
      </c>
      <c r="F20" s="17" t="n">
        <v>0.04650000000000001</v>
      </c>
      <c r="G20" s="18" t="n">
        <v>0</v>
      </c>
      <c r="H20" s="19" t="n">
        <v>0</v>
      </c>
      <c r="K20" s="20">
        <f>($K$9-F20)*G20/365</f>
        <v/>
      </c>
    </row>
    <row r="21">
      <c r="A21" s="13" t="inlineStr">
        <is>
          <t>חריגה</t>
        </is>
      </c>
      <c r="B21" s="14" t="n"/>
      <c r="C21" s="14" t="n"/>
      <c r="D21" s="14" t="n"/>
      <c r="F21" s="17" t="n">
        <v>0.04650000000000001</v>
      </c>
      <c r="G21" s="18" t="n">
        <v>0</v>
      </c>
      <c r="H21" s="19" t="n">
        <v>0</v>
      </c>
      <c r="K21" s="20">
        <f>($K$9-F21)*G21/365</f>
        <v/>
      </c>
    </row>
    <row r="22">
      <c r="A22" s="12" t="n">
        <v>45992</v>
      </c>
      <c r="B22" s="12" t="n">
        <v>46012</v>
      </c>
      <c r="C22" s="13" t="inlineStr">
        <is>
          <t>10,100,000 ש"ח</t>
        </is>
      </c>
      <c r="D22" s="14" t="n"/>
      <c r="E22" s="14" t="n"/>
      <c r="F22" s="14" t="n"/>
      <c r="G22" s="14" t="n"/>
      <c r="H22" s="14" t="n"/>
      <c r="I22" s="15">
        <f>B22-A22</f>
        <v/>
      </c>
    </row>
    <row r="23">
      <c r="A23" s="13" t="inlineStr">
        <is>
          <t>מדרגה 1</t>
        </is>
      </c>
      <c r="B23" s="14" t="n"/>
      <c r="C23" s="14" t="n"/>
      <c r="D23" s="14" t="n"/>
      <c r="E23" s="16" t="n">
        <v>10100000</v>
      </c>
      <c r="F23" s="17" t="n">
        <v>0.04650000000000001</v>
      </c>
      <c r="G23" s="18" t="n">
        <v>0</v>
      </c>
      <c r="H23" s="19" t="n">
        <v>0</v>
      </c>
      <c r="K23" s="20">
        <f>($K$9-F23)*G23/365</f>
        <v/>
      </c>
    </row>
    <row r="24">
      <c r="A24" s="13" t="inlineStr">
        <is>
          <t>חריגה</t>
        </is>
      </c>
      <c r="B24" s="14" t="n"/>
      <c r="C24" s="14" t="n"/>
      <c r="D24" s="14" t="n"/>
      <c r="F24" s="17" t="n">
        <v>0.04650000000000001</v>
      </c>
      <c r="G24" s="18" t="n">
        <v>0</v>
      </c>
      <c r="H24" s="19" t="n">
        <v>0</v>
      </c>
      <c r="K24" s="20">
        <f>($K$9-F24)*G24/365</f>
        <v/>
      </c>
    </row>
    <row r="25">
      <c r="A25" s="12" t="n">
        <v>46013</v>
      </c>
      <c r="B25" s="12" t="n">
        <v>46022</v>
      </c>
      <c r="C25" s="13" t="inlineStr">
        <is>
          <t>3,100,000 ש"ח</t>
        </is>
      </c>
      <c r="D25" s="14" t="n"/>
      <c r="E25" s="14" t="n"/>
      <c r="F25" s="14" t="n"/>
      <c r="G25" s="14" t="n"/>
      <c r="H25" s="14" t="n"/>
      <c r="I25" s="15">
        <f>B25-A25</f>
        <v/>
      </c>
    </row>
    <row r="26">
      <c r="A26" s="13" t="inlineStr">
        <is>
          <t>מדרגה 1</t>
        </is>
      </c>
      <c r="B26" s="14" t="n"/>
      <c r="C26" s="14" t="n"/>
      <c r="D26" s="14" t="n"/>
      <c r="E26" s="16" t="n">
        <v>3100000</v>
      </c>
      <c r="F26" s="17" t="n">
        <v>0.04650000000000001</v>
      </c>
      <c r="G26" s="18" t="n">
        <v>0</v>
      </c>
      <c r="H26" s="19" t="n">
        <v>0</v>
      </c>
      <c r="K26" s="20">
        <f>($K$9-F26)*G26/365</f>
        <v/>
      </c>
    </row>
    <row r="27">
      <c r="A27" s="13" t="inlineStr">
        <is>
          <t>חריגה</t>
        </is>
      </c>
      <c r="B27" s="14" t="n"/>
      <c r="C27" s="14" t="n"/>
      <c r="D27" s="14" t="n"/>
      <c r="F27" s="17" t="n">
        <v>0.04650000000000001</v>
      </c>
      <c r="G27" s="18" t="n">
        <v>0</v>
      </c>
      <c r="H27" s="19" t="n">
        <v>0</v>
      </c>
      <c r="K27" s="20">
        <f>($K$9-F27)*G27/365</f>
        <v/>
      </c>
    </row>
    <row r="29">
      <c r="A29" s="4" t="inlineStr">
        <is>
          <t>סה"כ ריבית חובה:</t>
        </is>
      </c>
      <c r="F29" s="2" t="inlineStr">
        <is>
          <t>מדרגה 1</t>
        </is>
      </c>
      <c r="G29" s="21" t="n">
        <v>27951.02</v>
      </c>
      <c r="J29" s="22">
        <f>SUM(J11:J27)</f>
        <v/>
      </c>
      <c r="K29" s="22">
        <f>SUM(K11:K27)</f>
        <v/>
      </c>
      <c r="L29" s="22">
        <f>SUM(J29:K29)</f>
        <v/>
      </c>
      <c r="M29" s="4" t="inlineStr">
        <is>
          <t>החזר</t>
        </is>
      </c>
    </row>
    <row r="30">
      <c r="F30" s="2" t="inlineStr">
        <is>
          <t>חריגה</t>
        </is>
      </c>
      <c r="G30" s="21" t="n">
        <v>217257.92</v>
      </c>
    </row>
    <row r="31">
      <c r="G31" s="23">
        <f>SUM(G29:G30)</f>
        <v/>
      </c>
    </row>
    <row r="32">
      <c r="A32" s="4" t="inlineStr">
        <is>
          <t>חשבונך חויב ב- 01/01/26 בסכום של: 245,208.93 ש"ח.</t>
        </is>
      </c>
    </row>
    <row r="34">
      <c r="A34" s="4" t="inlineStr">
        <is>
          <t>לידיעתך:</t>
        </is>
      </c>
    </row>
    <row r="35">
      <c r="A35" s="24" t="inlineStr">
        <is>
          <t>מספרי חובה - נתון זה הינו סיכום (חיבור) של יתרות החובה בפועל (לפי תאריכי ערך)</t>
        </is>
      </c>
    </row>
    <row r="36">
      <c r="A36" s="25" t="inlineStr">
        <is>
          <t>בתקופת החישוב לגביה מחושבת ריבית החובה במדרגה הנדונה.</t>
        </is>
      </c>
    </row>
    <row r="37">
      <c r="A37" s="25" t="inlineStr">
        <is>
          <t>דיווח זה ניתן כשרות חינם ללקוח, בהתאם לכללי גילוי נאות.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18" customWidth="1" min="4" max="4"/>
    <col width="14" customWidth="1" min="5" max="5"/>
    <col width="8" customWidth="1" min="6" max="6"/>
    <col width="18" customWidth="1" min="7" max="7"/>
    <col width="18" customWidth="1" min="8" max="8"/>
    <col width="18" customWidth="1" min="9" max="9"/>
    <col width="10" customWidth="1" min="10" max="10"/>
    <col width="14" customWidth="1" min="11" max="11"/>
    <col width="22" customWidth="1" min="12" max="12"/>
    <col width="12" customWidth="1" min="13" max="13"/>
    <col width="12" customWidth="1" min="14" max="14"/>
    <col width="18" customWidth="1" min="15" max="15"/>
  </cols>
  <sheetData>
    <row r="1">
      <c r="M1" s="3" t="inlineStr">
        <is>
          <t>תקופה 1</t>
        </is>
      </c>
      <c r="N1" s="3" t="inlineStr">
        <is>
          <t>תקופה 2</t>
        </is>
      </c>
      <c r="O1" s="3" t="inlineStr">
        <is>
          <t>תאריך שינוי ריבית</t>
        </is>
      </c>
    </row>
    <row r="2">
      <c r="L2" s="4" t="inlineStr">
        <is>
          <t>ריבית בנק ישראל</t>
        </is>
      </c>
      <c r="M2" s="5" t="n">
        <v>0.045</v>
      </c>
      <c r="N2" s="5" t="n">
        <v>0.0425</v>
      </c>
      <c r="O2" s="26" t="inlineStr">
        <is>
          <t>27.11</t>
        </is>
      </c>
    </row>
    <row r="3">
      <c r="A3" s="27" t="inlineStr">
        <is>
          <t>תנועות בחשבון</t>
        </is>
      </c>
      <c r="L3" s="4" t="inlineStr">
        <is>
          <t>מרווח ריבית חובה</t>
        </is>
      </c>
      <c r="M3" s="7" t="n">
        <v>0.0035</v>
      </c>
    </row>
    <row r="4">
      <c r="A4" s="4" t="inlineStr">
        <is>
          <t>מספר חשבון 12-600-463560 לתקופה: 01/10/25 - 31/12/25</t>
        </is>
      </c>
      <c r="L4" s="4" t="inlineStr">
        <is>
          <t>מרווח ריבית זכות</t>
        </is>
      </c>
      <c r="M4" s="7" t="n">
        <v>-0.006</v>
      </c>
    </row>
    <row r="5">
      <c r="A5" s="28" t="inlineStr">
        <is>
          <t>תאריך</t>
        </is>
      </c>
      <c r="B5" s="28" t="inlineStr">
        <is>
          <t>קוד פעולה</t>
        </is>
      </c>
      <c r="C5" s="28" t="inlineStr">
        <is>
          <t>הפעולה</t>
        </is>
      </c>
      <c r="D5" s="28" t="inlineStr">
        <is>
          <t>פרטים</t>
        </is>
      </c>
      <c r="E5" s="28" t="inlineStr">
        <is>
          <t>אסמכתא</t>
        </is>
      </c>
      <c r="F5" s="28" t="inlineStr">
        <is>
          <t>צרור</t>
        </is>
      </c>
      <c r="G5" s="28" t="inlineStr">
        <is>
          <t>חובה</t>
        </is>
      </c>
      <c r="H5" s="28" t="inlineStr">
        <is>
          <t>זכות</t>
        </is>
      </c>
      <c r="I5" s="28" t="inlineStr">
        <is>
          <t>יתרה בש"ח</t>
        </is>
      </c>
      <c r="J5" s="28" t="inlineStr">
        <is>
          <t>הערה</t>
        </is>
      </c>
    </row>
    <row r="6">
      <c r="A6" s="29" t="n">
        <v>46026</v>
      </c>
      <c r="B6" s="26" t="inlineStr">
        <is>
          <t>472</t>
        </is>
      </c>
      <c r="C6" s="2" t="inlineStr">
        <is>
          <t>רבית (תאריך ערך: 01/01)</t>
        </is>
      </c>
      <c r="D6" s="2" t="inlineStr"/>
      <c r="E6" s="26" t="inlineStr">
        <is>
          <t>1225</t>
        </is>
      </c>
      <c r="F6" s="26" t="inlineStr">
        <is>
          <t>0</t>
        </is>
      </c>
      <c r="G6" s="21" t="n">
        <v>245208.93</v>
      </c>
      <c r="I6" s="21" t="n">
        <v>-245208.93</v>
      </c>
      <c r="J6" s="15">
        <f>A6-A7</f>
        <v/>
      </c>
    </row>
    <row r="7">
      <c r="A7" s="29" t="n">
        <v>46022</v>
      </c>
      <c r="B7" s="26" t="inlineStr">
        <is>
          <t>469</t>
        </is>
      </c>
      <c r="C7" s="2" t="inlineStr">
        <is>
          <t>הוראת-קבע</t>
        </is>
      </c>
      <c r="D7" s="2" t="inlineStr"/>
      <c r="E7" s="26" t="inlineStr">
        <is>
          <t>600463579</t>
        </is>
      </c>
      <c r="F7" s="26" t="inlineStr">
        <is>
          <t>33333</t>
        </is>
      </c>
      <c r="G7" s="21" t="n">
        <v>2146408.29</v>
      </c>
      <c r="J7" s="15">
        <f>A7-A8</f>
        <v/>
      </c>
    </row>
    <row r="8">
      <c r="A8" s="29" t="n">
        <v>46022</v>
      </c>
      <c r="B8" s="26" t="inlineStr">
        <is>
          <t>452</t>
        </is>
      </c>
      <c r="C8" s="2" t="inlineStr">
        <is>
          <t>החלף ריבית</t>
        </is>
      </c>
      <c r="D8" s="2" t="inlineStr"/>
      <c r="E8" s="26" t="inlineStr">
        <is>
          <t>808516</t>
        </is>
      </c>
      <c r="F8" s="26" t="inlineStr">
        <is>
          <t>20</t>
        </is>
      </c>
      <c r="G8" s="21" t="n">
        <v>55627.75</v>
      </c>
      <c r="I8" s="21" t="n">
        <v>2146408.29</v>
      </c>
      <c r="J8" s="15">
        <f>A8-A9</f>
        <v/>
      </c>
    </row>
    <row r="9">
      <c r="A9" s="29" t="n">
        <v>46022</v>
      </c>
      <c r="B9" s="26" t="inlineStr">
        <is>
          <t>142</t>
        </is>
      </c>
      <c r="C9" s="2" t="inlineStr">
        <is>
          <t>החלף ריבית</t>
        </is>
      </c>
      <c r="D9" s="2" t="inlineStr"/>
      <c r="E9" s="26" t="inlineStr">
        <is>
          <t>760449</t>
        </is>
      </c>
      <c r="F9" s="26" t="inlineStr">
        <is>
          <t>20</t>
        </is>
      </c>
      <c r="H9" s="21" t="n">
        <v>1654254.76</v>
      </c>
      <c r="I9" s="21" t="n">
        <v>2202036.04</v>
      </c>
      <c r="J9" s="15">
        <f>A9-A10</f>
        <v/>
      </c>
    </row>
    <row r="10">
      <c r="A10" s="29" t="n">
        <v>46022</v>
      </c>
      <c r="B10" s="26" t="inlineStr">
        <is>
          <t>142</t>
        </is>
      </c>
      <c r="C10" s="2" t="inlineStr">
        <is>
          <t>החלף ריבית</t>
        </is>
      </c>
      <c r="D10" s="2" t="inlineStr"/>
      <c r="E10" s="26" t="inlineStr">
        <is>
          <t>745619</t>
        </is>
      </c>
      <c r="F10" s="26" t="inlineStr">
        <is>
          <t>20</t>
        </is>
      </c>
      <c r="H10" s="21" t="n">
        <v>547781.28</v>
      </c>
      <c r="I10" s="21" t="n">
        <v>547781.28</v>
      </c>
      <c r="J10" s="15">
        <f>A10-A11</f>
        <v/>
      </c>
    </row>
    <row r="11">
      <c r="A11" s="29" t="n">
        <v>46021</v>
      </c>
      <c r="B11" s="26" t="inlineStr">
        <is>
          <t>452</t>
        </is>
      </c>
      <c r="C11" s="2" t="inlineStr">
        <is>
          <t>החלף ריבית</t>
        </is>
      </c>
      <c r="D11" s="2" t="inlineStr"/>
      <c r="E11" s="26" t="inlineStr">
        <is>
          <t>786124</t>
        </is>
      </c>
      <c r="F11" s="26" t="inlineStr">
        <is>
          <t>20</t>
        </is>
      </c>
      <c r="G11" s="21" t="n">
        <v>464423.26</v>
      </c>
      <c r="J11" s="15">
        <f>A11-A12</f>
        <v/>
      </c>
    </row>
    <row r="12">
      <c r="A12" s="29" t="n">
        <v>46021</v>
      </c>
      <c r="B12" s="26" t="inlineStr">
        <is>
          <t>452</t>
        </is>
      </c>
      <c r="C12" s="2" t="inlineStr">
        <is>
          <t>החלף ריבית</t>
        </is>
      </c>
      <c r="D12" s="2" t="inlineStr"/>
      <c r="E12" s="26" t="inlineStr">
        <is>
          <t>783899</t>
        </is>
      </c>
      <c r="F12" s="26" t="inlineStr">
        <is>
          <t>20</t>
        </is>
      </c>
      <c r="G12" s="21" t="n">
        <v>1658654.51</v>
      </c>
      <c r="I12" s="21" t="n">
        <v>464423.26</v>
      </c>
      <c r="J12" s="15">
        <f>A12-A13</f>
        <v/>
      </c>
    </row>
    <row r="13">
      <c r="A13" s="29" t="n">
        <v>46021</v>
      </c>
      <c r="B13" s="26" t="inlineStr">
        <is>
          <t>469</t>
        </is>
      </c>
      <c r="C13" s="2" t="inlineStr">
        <is>
          <t>הוראת-קבע</t>
        </is>
      </c>
      <c r="D13" s="2" t="inlineStr"/>
      <c r="E13" s="26" t="inlineStr">
        <is>
          <t>600463579</t>
        </is>
      </c>
      <c r="F13" s="26" t="inlineStr">
        <is>
          <t>33333</t>
        </is>
      </c>
      <c r="G13" s="21" t="n">
        <v>-2123077.77</v>
      </c>
      <c r="I13" s="21" t="n">
        <v>2123077.77</v>
      </c>
      <c r="J13" s="15">
        <f>A13-A14</f>
        <v/>
      </c>
    </row>
    <row r="14">
      <c r="A14" s="29" t="n">
        <v>45981</v>
      </c>
      <c r="B14" s="26" t="inlineStr">
        <is>
          <t>469</t>
        </is>
      </c>
      <c r="C14" s="2" t="inlineStr">
        <is>
          <t>הוראת-קבע</t>
        </is>
      </c>
      <c r="D14" s="2" t="inlineStr"/>
      <c r="E14" s="26" t="inlineStr">
        <is>
          <t>600463579</t>
        </is>
      </c>
      <c r="F14" s="26" t="inlineStr">
        <is>
          <t>33333</t>
        </is>
      </c>
      <c r="G14" s="21" t="n">
        <v>-987784.48</v>
      </c>
      <c r="J14" s="15">
        <f>A14-A15</f>
        <v/>
      </c>
    </row>
    <row r="15">
      <c r="A15" s="29" t="n">
        <v>45973</v>
      </c>
      <c r="B15" s="26" t="inlineStr">
        <is>
          <t>142</t>
        </is>
      </c>
      <c r="C15" s="2" t="inlineStr">
        <is>
          <t>פורוורד שקל</t>
        </is>
      </c>
      <c r="D15" s="2" t="inlineStr"/>
      <c r="E15" s="26" t="inlineStr">
        <is>
          <t>4430240</t>
        </is>
      </c>
      <c r="F15" s="26" t="inlineStr">
        <is>
          <t>6</t>
        </is>
      </c>
      <c r="H15" s="21" t="n">
        <v>159389620.24</v>
      </c>
      <c r="I15" s="21" t="n">
        <v>-987784.48</v>
      </c>
      <c r="J15" s="15">
        <f>A15-A16</f>
        <v/>
      </c>
    </row>
    <row r="16">
      <c r="A16" s="29" t="n">
        <v>45968</v>
      </c>
      <c r="B16" s="26" t="inlineStr">
        <is>
          <t>142</t>
        </is>
      </c>
      <c r="C16" s="2" t="inlineStr">
        <is>
          <t>ספוט שקל</t>
        </is>
      </c>
      <c r="D16" s="2" t="inlineStr"/>
      <c r="E16" s="26" t="inlineStr">
        <is>
          <t>4441104</t>
        </is>
      </c>
      <c r="F16" s="26" t="inlineStr">
        <is>
          <t>4</t>
        </is>
      </c>
      <c r="H16" s="21" t="n">
        <v>86033735.28</v>
      </c>
      <c r="I16" s="21" t="n">
        <v>-160377404.72</v>
      </c>
      <c r="J16" s="15">
        <f>A16-A17</f>
        <v/>
      </c>
    </row>
    <row r="17">
      <c r="A17" s="29" t="n">
        <v>45967</v>
      </c>
      <c r="B17" s="26" t="inlineStr">
        <is>
          <t>452</t>
        </is>
      </c>
      <c r="C17" s="2" t="inlineStr">
        <is>
          <t>רכישה</t>
        </is>
      </c>
      <c r="D17" s="2" t="inlineStr"/>
      <c r="E17" s="26" t="inlineStr">
        <is>
          <t>4441103</t>
        </is>
      </c>
      <c r="F17" s="26" t="inlineStr">
        <is>
          <t>2</t>
        </is>
      </c>
      <c r="G17" s="21" t="n">
        <v>86034000</v>
      </c>
      <c r="I17" s="21" t="n">
        <v>-246411140</v>
      </c>
      <c r="J17" s="15">
        <f>A17-A18</f>
        <v/>
      </c>
    </row>
    <row r="18">
      <c r="A18" s="29" t="n">
        <v>45967</v>
      </c>
      <c r="B18" s="26" t="inlineStr">
        <is>
          <t>452</t>
        </is>
      </c>
      <c r="C18" s="2" t="inlineStr">
        <is>
          <t>ספוט שקל</t>
        </is>
      </c>
      <c r="D18" s="2" t="inlineStr"/>
      <c r="E18" s="26" t="inlineStr">
        <is>
          <t>4436494</t>
        </is>
      </c>
      <c r="F18" s="26" t="inlineStr">
        <is>
          <t>4</t>
        </is>
      </c>
      <c r="G18" s="21" t="n">
        <v>160377140</v>
      </c>
      <c r="I18" s="21" t="n">
        <v>-160377140</v>
      </c>
      <c r="J18" s="15">
        <f>A18-A19</f>
        <v/>
      </c>
    </row>
    <row r="19">
      <c r="A19" s="29" t="n">
        <v>45966</v>
      </c>
      <c r="B19" s="26" t="inlineStr">
        <is>
          <t>469</t>
        </is>
      </c>
      <c r="C19" s="2" t="inlineStr">
        <is>
          <t>הוראת-קבע</t>
        </is>
      </c>
      <c r="D19" s="2" t="inlineStr"/>
      <c r="E19" s="26" t="inlineStr">
        <is>
          <t>600463579</t>
        </is>
      </c>
      <c r="F19" s="26" t="inlineStr">
        <is>
          <t>33333</t>
        </is>
      </c>
      <c r="G19" s="21" t="n">
        <v>996837.6</v>
      </c>
      <c r="J19" s="15">
        <f>A19-A20</f>
        <v/>
      </c>
    </row>
    <row r="20">
      <c r="A20" s="29" t="n">
        <v>45966</v>
      </c>
      <c r="B20" s="26" t="inlineStr">
        <is>
          <t>452</t>
        </is>
      </c>
      <c r="C20" s="2" t="inlineStr">
        <is>
          <t>ספוט שקל</t>
        </is>
      </c>
      <c r="D20" s="2" t="inlineStr"/>
      <c r="E20" s="26" t="inlineStr">
        <is>
          <t>4430239</t>
        </is>
      </c>
      <c r="F20" s="26" t="inlineStr">
        <is>
          <t>4</t>
        </is>
      </c>
      <c r="G20" s="21" t="n">
        <v>159380793</v>
      </c>
      <c r="I20" s="21" t="n">
        <v>996837.6</v>
      </c>
      <c r="J20" s="15">
        <f>A20-A21</f>
        <v/>
      </c>
    </row>
    <row r="21">
      <c r="A21" s="29" t="n">
        <v>45966</v>
      </c>
      <c r="B21" s="26" t="inlineStr">
        <is>
          <t>142</t>
        </is>
      </c>
      <c r="C21" s="2" t="inlineStr">
        <is>
          <t>המרה</t>
        </is>
      </c>
      <c r="D21" s="2" t="inlineStr"/>
      <c r="E21" s="26" t="inlineStr">
        <is>
          <t>4436493</t>
        </is>
      </c>
      <c r="F21" s="26" t="inlineStr">
        <is>
          <t>1</t>
        </is>
      </c>
      <c r="H21" s="21" t="n">
        <v>160377630.6</v>
      </c>
      <c r="I21" s="21" t="n">
        <v>160377630.6</v>
      </c>
      <c r="J21" s="15">
        <f>A21-A22</f>
        <v/>
      </c>
    </row>
    <row r="22">
      <c r="A22" s="29" t="n">
        <v>45965</v>
      </c>
      <c r="B22" s="26" t="inlineStr">
        <is>
          <t>469</t>
        </is>
      </c>
      <c r="C22" s="2" t="inlineStr">
        <is>
          <t>הוראת-קבע</t>
        </is>
      </c>
      <c r="D22" s="2" t="inlineStr"/>
      <c r="E22" s="26" t="inlineStr">
        <is>
          <t>600463579</t>
        </is>
      </c>
      <c r="F22" s="26" t="inlineStr">
        <is>
          <t>33333</t>
        </is>
      </c>
      <c r="G22" s="21" t="n">
        <v>8827.25</v>
      </c>
      <c r="J22" s="15">
        <f>A22-A23</f>
        <v/>
      </c>
    </row>
    <row r="23">
      <c r="A23" s="29" t="n">
        <v>45965</v>
      </c>
      <c r="B23" s="26" t="inlineStr">
        <is>
          <t>142</t>
        </is>
      </c>
      <c r="C23" s="2" t="inlineStr">
        <is>
          <t>ספוט שקל</t>
        </is>
      </c>
      <c r="D23" s="2" t="inlineStr"/>
      <c r="E23" s="26" t="inlineStr">
        <is>
          <t>4427953</t>
        </is>
      </c>
      <c r="F23" s="26" t="inlineStr">
        <is>
          <t>4</t>
        </is>
      </c>
      <c r="H23" s="21" t="n">
        <v>159389620.41</v>
      </c>
      <c r="I23" s="21" t="n">
        <v>8827.25</v>
      </c>
      <c r="J23" s="15">
        <f>A23-A24</f>
        <v/>
      </c>
    </row>
    <row r="24">
      <c r="A24" s="29" t="n">
        <v>45961</v>
      </c>
      <c r="B24" s="26" t="inlineStr">
        <is>
          <t>452</t>
        </is>
      </c>
      <c r="C24" s="2" t="inlineStr">
        <is>
          <t>רכישה</t>
        </is>
      </c>
      <c r="D24" s="2" t="inlineStr"/>
      <c r="E24" s="26" t="inlineStr">
        <is>
          <t>4427952</t>
        </is>
      </c>
      <c r="F24" s="26" t="inlineStr">
        <is>
          <t>2</t>
        </is>
      </c>
      <c r="G24" s="21" t="n">
        <v>159380793.16</v>
      </c>
      <c r="I24" s="21" t="n">
        <v>-159380793.16</v>
      </c>
      <c r="J24" s="15">
        <f>A24-A25</f>
        <v/>
      </c>
    </row>
    <row r="25">
      <c r="A25" s="29" t="n">
        <v>45952</v>
      </c>
      <c r="B25" s="26" t="inlineStr">
        <is>
          <t>469</t>
        </is>
      </c>
      <c r="C25" s="2" t="inlineStr">
        <is>
          <t>הוראת-קבע</t>
        </is>
      </c>
      <c r="D25" s="2" t="inlineStr"/>
      <c r="E25" s="26" t="inlineStr">
        <is>
          <t>600463579</t>
        </is>
      </c>
      <c r="F25" s="26" t="inlineStr">
        <is>
          <t>33333</t>
        </is>
      </c>
      <c r="G25" s="21" t="n">
        <v>-2288234.4</v>
      </c>
      <c r="J25" s="15">
        <f>A25-A26</f>
        <v/>
      </c>
    </row>
    <row r="26">
      <c r="A26" s="29" t="n">
        <v>45951</v>
      </c>
      <c r="B26" s="26" t="inlineStr">
        <is>
          <t>142</t>
        </is>
      </c>
      <c r="C26" s="2" t="inlineStr">
        <is>
          <t>ספוט שקל</t>
        </is>
      </c>
      <c r="D26" s="2" t="inlineStr"/>
      <c r="E26" s="26" t="inlineStr">
        <is>
          <t>4402763</t>
        </is>
      </c>
      <c r="F26" s="26" t="inlineStr">
        <is>
          <t>4</t>
        </is>
      </c>
      <c r="H26" s="21" t="n">
        <v>26266620.93</v>
      </c>
      <c r="I26" s="21" t="n">
        <v>-2288234.4</v>
      </c>
      <c r="J26" s="15">
        <f>A26-A27</f>
        <v/>
      </c>
    </row>
    <row r="27">
      <c r="A27" s="29" t="n">
        <v>45950</v>
      </c>
      <c r="B27" s="26" t="inlineStr">
        <is>
          <t>471</t>
        </is>
      </c>
      <c r="C27" s="2" t="inlineStr">
        <is>
          <t>ניע עמלת העברה</t>
        </is>
      </c>
      <c r="D27" s="2" t="inlineStr"/>
      <c r="E27" s="26" t="inlineStr">
        <is>
          <t>72985955</t>
        </is>
      </c>
      <c r="F27" s="26" t="inlineStr">
        <is>
          <t>1080</t>
        </is>
      </c>
      <c r="G27" s="21" t="n">
        <v>5</v>
      </c>
      <c r="I27" s="21" t="n">
        <v>-28554855.33</v>
      </c>
      <c r="J27" s="15">
        <f>A27-A28</f>
        <v/>
      </c>
    </row>
    <row r="28">
      <c r="A28" s="29" t="n">
        <v>45950</v>
      </c>
      <c r="B28" s="26" t="inlineStr">
        <is>
          <t>452</t>
        </is>
      </c>
      <c r="C28" s="2" t="inlineStr">
        <is>
          <t>רכישה</t>
        </is>
      </c>
      <c r="D28" s="2" t="inlineStr"/>
      <c r="E28" s="26" t="inlineStr">
        <is>
          <t>4402762</t>
        </is>
      </c>
      <c r="F28" s="26" t="inlineStr">
        <is>
          <t>2</t>
        </is>
      </c>
      <c r="G28" s="21" t="n">
        <v>26266700.29</v>
      </c>
      <c r="I28" s="21" t="n">
        <v>-28554850.33</v>
      </c>
      <c r="J28" s="15">
        <f>A28-A29</f>
        <v/>
      </c>
    </row>
    <row r="29">
      <c r="A29" s="29" t="n">
        <v>45950</v>
      </c>
      <c r="B29" s="26" t="inlineStr">
        <is>
          <t>142</t>
        </is>
      </c>
      <c r="C29" s="2" t="inlineStr">
        <is>
          <t>ספוט שקל</t>
        </is>
      </c>
      <c r="D29" s="2" t="inlineStr"/>
      <c r="E29" s="26" t="inlineStr">
        <is>
          <t>4400404</t>
        </is>
      </c>
      <c r="F29" s="26" t="inlineStr">
        <is>
          <t>4</t>
        </is>
      </c>
      <c r="H29" s="21" t="n">
        <v>26369707.17</v>
      </c>
      <c r="I29" s="21" t="n">
        <v>-2288150.04</v>
      </c>
      <c r="J29" s="15">
        <f>A29-A30</f>
        <v/>
      </c>
    </row>
    <row r="30">
      <c r="A30" s="29" t="n">
        <v>45947</v>
      </c>
      <c r="B30" s="26" t="inlineStr">
        <is>
          <t>452</t>
        </is>
      </c>
      <c r="C30" s="2" t="inlineStr">
        <is>
          <t>רכישה</t>
        </is>
      </c>
      <c r="D30" s="2" t="inlineStr"/>
      <c r="E30" s="26" t="inlineStr">
        <is>
          <t>4400403</t>
        </is>
      </c>
      <c r="F30" s="26" t="inlineStr">
        <is>
          <t>2</t>
        </is>
      </c>
      <c r="G30" s="21" t="n">
        <v>26369865.88</v>
      </c>
      <c r="I30" s="21" t="n">
        <v>-28657857.21</v>
      </c>
      <c r="J30" s="15">
        <f>A30-A31</f>
        <v/>
      </c>
    </row>
    <row r="31">
      <c r="A31" s="29" t="n">
        <v>45940</v>
      </c>
      <c r="B31" s="26" t="inlineStr">
        <is>
          <t>452</t>
        </is>
      </c>
      <c r="C31" s="2" t="inlineStr">
        <is>
          <t>ספוט שקל</t>
        </is>
      </c>
      <c r="D31" s="2" t="inlineStr"/>
      <c r="E31" s="26" t="inlineStr">
        <is>
          <t>4384156</t>
        </is>
      </c>
      <c r="F31" s="26" t="inlineStr">
        <is>
          <t>4</t>
        </is>
      </c>
      <c r="G31" s="21" t="n">
        <v>2287991.33</v>
      </c>
      <c r="I31" s="21" t="n">
        <v>-2287991.33</v>
      </c>
      <c r="J31" s="15">
        <f>A31-A32</f>
        <v/>
      </c>
    </row>
    <row r="32">
      <c r="A32" s="29" t="n">
        <v>45938</v>
      </c>
      <c r="B32" s="26" t="inlineStr">
        <is>
          <t>469</t>
        </is>
      </c>
      <c r="C32" s="2" t="inlineStr">
        <is>
          <t>הוראת-קבע</t>
        </is>
      </c>
      <c r="D32" s="2" t="inlineStr"/>
      <c r="E32" s="26" t="inlineStr">
        <is>
          <t>600463579</t>
        </is>
      </c>
      <c r="F32" s="26" t="inlineStr">
        <is>
          <t>33333</t>
        </is>
      </c>
      <c r="G32" s="21" t="n">
        <v>224436.59</v>
      </c>
      <c r="J32" s="15">
        <f>A32-A33</f>
        <v/>
      </c>
    </row>
    <row r="33">
      <c r="A33" s="29" t="n">
        <v>45938</v>
      </c>
      <c r="B33" s="26" t="inlineStr">
        <is>
          <t>452</t>
        </is>
      </c>
      <c r="C33" s="2" t="inlineStr">
        <is>
          <t>החלף מטבע</t>
        </is>
      </c>
      <c r="D33" s="2" t="inlineStr"/>
      <c r="E33" s="26" t="inlineStr">
        <is>
          <t>744881</t>
        </is>
      </c>
      <c r="F33" s="26" t="inlineStr">
        <is>
          <t>22</t>
        </is>
      </c>
      <c r="G33" s="21" t="n">
        <v>2063496.24</v>
      </c>
      <c r="I33" s="21" t="n">
        <v>224436.59</v>
      </c>
      <c r="J33" s="15">
        <f>A33-A34</f>
        <v/>
      </c>
    </row>
    <row r="34">
      <c r="A34" s="29" t="n">
        <v>45938</v>
      </c>
      <c r="B34" s="26" t="inlineStr">
        <is>
          <t>142</t>
        </is>
      </c>
      <c r="C34" s="2" t="inlineStr">
        <is>
          <t>המרה</t>
        </is>
      </c>
      <c r="D34" s="2" t="inlineStr"/>
      <c r="E34" s="26" t="inlineStr">
        <is>
          <t>4384155</t>
        </is>
      </c>
      <c r="F34" s="26" t="inlineStr">
        <is>
          <t>1</t>
        </is>
      </c>
      <c r="H34" s="21" t="n">
        <v>2287956.51</v>
      </c>
      <c r="I34" s="21" t="n">
        <v>2287932.83</v>
      </c>
      <c r="J34" s="15">
        <f>A34-A35</f>
        <v/>
      </c>
    </row>
    <row r="35">
      <c r="A35" s="29" t="n">
        <v>45936</v>
      </c>
      <c r="B35" s="26" t="inlineStr">
        <is>
          <t>472</t>
        </is>
      </c>
      <c r="C35" s="2" t="inlineStr">
        <is>
          <t>רבית (תאריך ערך: 03/10)</t>
        </is>
      </c>
      <c r="D35" s="2" t="inlineStr"/>
      <c r="E35" s="26" t="inlineStr">
        <is>
          <t>925</t>
        </is>
      </c>
      <c r="F35" s="26" t="inlineStr">
        <is>
          <t>0</t>
        </is>
      </c>
      <c r="G35" s="21" t="n">
        <v>23.68</v>
      </c>
      <c r="I35" s="21" t="n">
        <v>-23.68</v>
      </c>
      <c r="J35" s="15">
        <f>A35-A36</f>
        <v/>
      </c>
    </row>
    <row r="36">
      <c r="A36" s="29" t="n">
        <v>45930</v>
      </c>
      <c r="B36" s="26" t="inlineStr">
        <is>
          <t>469</t>
        </is>
      </c>
      <c r="C36" s="2" t="inlineStr">
        <is>
          <t>הוראת-קבע</t>
        </is>
      </c>
      <c r="D36" s="2" t="inlineStr"/>
      <c r="E36" s="26" t="inlineStr">
        <is>
          <t>600463579</t>
        </is>
      </c>
      <c r="F36" s="26" t="inlineStr">
        <is>
          <t>33333</t>
        </is>
      </c>
      <c r="G36" s="21" t="n">
        <v>230530.78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P36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22" customWidth="1" min="3" max="3"/>
    <col width="18" customWidth="1" min="4" max="4"/>
    <col width="14" customWidth="1" min="5" max="5"/>
    <col width="8" customWidth="1" min="6" max="6"/>
    <col width="18" customWidth="1" min="7" max="7"/>
    <col width="18" customWidth="1" min="8" max="8"/>
    <col width="18" customWidth="1" min="9" max="9"/>
    <col width="16" customWidth="1" min="10" max="10"/>
    <col width="18" customWidth="1" min="11" max="11"/>
    <col width="8" customWidth="1" min="12" max="12"/>
    <col width="14" customWidth="1" min="13" max="13"/>
    <col width="14" customWidth="1" min="14" max="14"/>
    <col width="16" customWidth="1" min="15" max="15"/>
    <col width="18" customWidth="1" min="16" max="16"/>
  </cols>
  <sheetData>
    <row r="3">
      <c r="A3" s="4" t="inlineStr">
        <is>
          <t>תנועות בחשבון</t>
        </is>
      </c>
      <c r="J3" s="3" t="inlineStr">
        <is>
          <t>תיאום</t>
        </is>
      </c>
      <c r="K3" s="3" t="inlineStr">
        <is>
          <t>יתרה מתואמת</t>
        </is>
      </c>
      <c r="M3" s="5" t="n">
        <v>0.0485</v>
      </c>
      <c r="N3" s="5" t="n">
        <v>0.046</v>
      </c>
    </row>
    <row r="4">
      <c r="A4" s="29" t="n">
        <v>46022</v>
      </c>
      <c r="B4" s="26" t="inlineStr">
        <is>
          <t>469</t>
        </is>
      </c>
      <c r="C4" s="2" t="inlineStr">
        <is>
          <t>הוראת-קבע</t>
        </is>
      </c>
      <c r="D4" s="2" t="inlineStr"/>
      <c r="E4" s="26" t="inlineStr">
        <is>
          <t>600463579</t>
        </is>
      </c>
      <c r="F4" s="26" t="inlineStr">
        <is>
          <t>33333</t>
        </is>
      </c>
      <c r="G4" s="21" t="n">
        <v>2146408.29</v>
      </c>
      <c r="L4" s="15" t="n">
        <v>1</v>
      </c>
      <c r="N4" s="20">
        <f>IF(AND(L4&gt;0,I4&lt;0),I4/365*L4*$N$3,"")</f>
        <v/>
      </c>
    </row>
    <row r="5">
      <c r="A5" s="29" t="n">
        <v>46022</v>
      </c>
      <c r="B5" s="26" t="inlineStr">
        <is>
          <t>452</t>
        </is>
      </c>
      <c r="C5" s="2" t="inlineStr">
        <is>
          <t>החלף ריבית</t>
        </is>
      </c>
      <c r="D5" s="2" t="inlineStr"/>
      <c r="E5" s="26" t="inlineStr">
        <is>
          <t>808516</t>
        </is>
      </c>
      <c r="F5" s="26" t="inlineStr">
        <is>
          <t>20</t>
        </is>
      </c>
      <c r="G5" s="21" t="n">
        <v>55627.75</v>
      </c>
      <c r="I5" s="21" t="n">
        <v>2146408.29</v>
      </c>
      <c r="J5" s="21" t="n">
        <v>245208.93</v>
      </c>
      <c r="K5" s="21" t="n">
        <v>2391617.22</v>
      </c>
      <c r="L5" s="15">
        <f>A4-A5</f>
        <v/>
      </c>
      <c r="N5" s="20">
        <f>IF(AND(L5&gt;0,K5&lt;0),K5/365*L5*$N$3,"")</f>
        <v/>
      </c>
    </row>
    <row r="6">
      <c r="A6" s="29" t="n">
        <v>46022</v>
      </c>
      <c r="B6" s="26" t="inlineStr">
        <is>
          <t>142</t>
        </is>
      </c>
      <c r="C6" s="2" t="inlineStr">
        <is>
          <t>החלף ריבית</t>
        </is>
      </c>
      <c r="D6" s="2" t="inlineStr"/>
      <c r="E6" s="26" t="inlineStr">
        <is>
          <t>760449</t>
        </is>
      </c>
      <c r="F6" s="26" t="inlineStr">
        <is>
          <t>20</t>
        </is>
      </c>
      <c r="H6" s="21" t="n">
        <v>1654254.76</v>
      </c>
      <c r="I6" s="21" t="n">
        <v>2202036.04</v>
      </c>
      <c r="J6" s="21" t="n">
        <v>245208.93</v>
      </c>
      <c r="K6" s="21" t="n">
        <v>2447244.97</v>
      </c>
      <c r="L6" s="15">
        <f>A5-A6</f>
        <v/>
      </c>
      <c r="N6" s="20">
        <f>IF(AND(L6&gt;0,K6&lt;0),K6/365*L6*$N$3,"")</f>
        <v/>
      </c>
    </row>
    <row r="7">
      <c r="A7" s="29" t="n">
        <v>46022</v>
      </c>
      <c r="B7" s="26" t="inlineStr">
        <is>
          <t>142</t>
        </is>
      </c>
      <c r="C7" s="2" t="inlineStr">
        <is>
          <t>החלף ריבית</t>
        </is>
      </c>
      <c r="D7" s="2" t="inlineStr"/>
      <c r="E7" s="26" t="inlineStr">
        <is>
          <t>745619</t>
        </is>
      </c>
      <c r="F7" s="26" t="inlineStr">
        <is>
          <t>20</t>
        </is>
      </c>
      <c r="H7" s="21" t="n">
        <v>547781.28</v>
      </c>
      <c r="I7" s="21" t="n">
        <v>547781.28</v>
      </c>
      <c r="J7" s="21" t="n">
        <v>245208.93</v>
      </c>
      <c r="K7" s="21" t="n">
        <v>792990.21</v>
      </c>
      <c r="L7" s="15">
        <f>A6-A7</f>
        <v/>
      </c>
      <c r="N7" s="20">
        <f>IF(AND(L7&gt;0,K7&lt;0),K7/365*L7*$N$3,"")</f>
        <v/>
      </c>
    </row>
    <row r="8">
      <c r="A8" s="29" t="n">
        <v>46021</v>
      </c>
      <c r="B8" s="26" t="inlineStr">
        <is>
          <t>452</t>
        </is>
      </c>
      <c r="C8" s="2" t="inlineStr">
        <is>
          <t>החלף ריבית</t>
        </is>
      </c>
      <c r="D8" s="2" t="inlineStr"/>
      <c r="E8" s="26" t="inlineStr">
        <is>
          <t>786124</t>
        </is>
      </c>
      <c r="F8" s="26" t="inlineStr">
        <is>
          <t>20</t>
        </is>
      </c>
      <c r="G8" s="21" t="n">
        <v>464423.26</v>
      </c>
      <c r="L8" s="15">
        <f>A7-A8</f>
        <v/>
      </c>
      <c r="N8" s="20">
        <f>IF(AND(L8&gt;0,I8&lt;0),I8/365*L8*$N$3,"")</f>
        <v/>
      </c>
    </row>
    <row r="9">
      <c r="A9" s="29" t="n">
        <v>46021</v>
      </c>
      <c r="B9" s="26" t="inlineStr">
        <is>
          <t>452</t>
        </is>
      </c>
      <c r="C9" s="2" t="inlineStr">
        <is>
          <t>החלף ריבית</t>
        </is>
      </c>
      <c r="D9" s="2" t="inlineStr"/>
      <c r="E9" s="26" t="inlineStr">
        <is>
          <t>783899</t>
        </is>
      </c>
      <c r="F9" s="26" t="inlineStr">
        <is>
          <t>20</t>
        </is>
      </c>
      <c r="G9" s="21" t="n">
        <v>1658654.51</v>
      </c>
      <c r="I9" s="21" t="n">
        <v>464423.26</v>
      </c>
      <c r="J9" s="21" t="n">
        <v>245208.93</v>
      </c>
      <c r="K9" s="21" t="n">
        <v>709632.1899999999</v>
      </c>
      <c r="L9" s="15">
        <f>A8-A9</f>
        <v/>
      </c>
      <c r="N9" s="20">
        <f>IF(AND(L9&gt;0,K9&lt;0),K9/365*L9*$N$3,"")</f>
        <v/>
      </c>
    </row>
    <row r="10">
      <c r="A10" s="29" t="n">
        <v>46021</v>
      </c>
      <c r="B10" s="26" t="inlineStr">
        <is>
          <t>469</t>
        </is>
      </c>
      <c r="C10" s="2" t="inlineStr">
        <is>
          <t>הוראת-קבע</t>
        </is>
      </c>
      <c r="D10" s="2" t="inlineStr"/>
      <c r="E10" s="26" t="inlineStr">
        <is>
          <t>600463579</t>
        </is>
      </c>
      <c r="F10" s="26" t="inlineStr">
        <is>
          <t>33333</t>
        </is>
      </c>
      <c r="G10" s="21" t="n">
        <v>-2123077.77</v>
      </c>
      <c r="I10" s="21" t="n">
        <v>2123077.77</v>
      </c>
      <c r="J10" s="21" t="n">
        <v>245208.93</v>
      </c>
      <c r="K10" s="21" t="n">
        <v>2368286.7</v>
      </c>
      <c r="L10" s="15">
        <f>A9-A10</f>
        <v/>
      </c>
      <c r="N10" s="20">
        <f>IF(AND(L10&gt;0,K10&lt;0),K10/365*L10*$N$3,"")</f>
        <v/>
      </c>
    </row>
    <row r="11">
      <c r="A11" s="29" t="n">
        <v>45981</v>
      </c>
      <c r="B11" s="26" t="inlineStr">
        <is>
          <t>469</t>
        </is>
      </c>
      <c r="C11" s="2" t="inlineStr">
        <is>
          <t>הוראת-קבע</t>
        </is>
      </c>
      <c r="D11" s="2" t="inlineStr"/>
      <c r="E11" s="26" t="inlineStr">
        <is>
          <t>600463579</t>
        </is>
      </c>
      <c r="F11" s="26" t="inlineStr">
        <is>
          <t>33333</t>
        </is>
      </c>
      <c r="G11" s="21" t="n">
        <v>-987784.48</v>
      </c>
      <c r="L11" s="15">
        <f>A10-A11</f>
        <v/>
      </c>
      <c r="M11" s="20">
        <f>IF(AND(L11&gt;0,I11&lt;0),I11/365*L11*$M$3,"")</f>
        <v/>
      </c>
    </row>
    <row r="12">
      <c r="A12" s="29" t="n">
        <v>45973</v>
      </c>
      <c r="B12" s="26" t="inlineStr">
        <is>
          <t>142</t>
        </is>
      </c>
      <c r="C12" s="2" t="inlineStr">
        <is>
          <t>פורוורד שקל</t>
        </is>
      </c>
      <c r="D12" s="2" t="inlineStr"/>
      <c r="E12" s="26" t="inlineStr">
        <is>
          <t>4430240</t>
        </is>
      </c>
      <c r="F12" s="26" t="inlineStr">
        <is>
          <t>6</t>
        </is>
      </c>
      <c r="H12" s="21" t="n">
        <v>159389620.24</v>
      </c>
      <c r="I12" s="21" t="n">
        <v>-987784.48</v>
      </c>
      <c r="J12" s="21" t="n">
        <v>245208.93</v>
      </c>
      <c r="K12" s="21" t="n">
        <v>-742575.55</v>
      </c>
      <c r="L12" s="15">
        <f>A11-A12</f>
        <v/>
      </c>
      <c r="M12" s="20">
        <f>IF(AND(L12&gt;0,K12&lt;0),K12/365*L12*$M$3,"")</f>
        <v/>
      </c>
    </row>
    <row r="13">
      <c r="A13" s="29" t="n">
        <v>45968</v>
      </c>
      <c r="B13" s="26" t="inlineStr">
        <is>
          <t>142</t>
        </is>
      </c>
      <c r="C13" s="2" t="inlineStr">
        <is>
          <t>ספוט שקל</t>
        </is>
      </c>
      <c r="D13" s="2" t="inlineStr"/>
      <c r="E13" s="26" t="inlineStr">
        <is>
          <t>4441104</t>
        </is>
      </c>
      <c r="F13" s="26" t="inlineStr">
        <is>
          <t>4</t>
        </is>
      </c>
      <c r="H13" s="21" t="n">
        <v>86033735.28</v>
      </c>
      <c r="I13" s="21" t="n">
        <v>-160377404.72</v>
      </c>
      <c r="J13" s="21" t="n">
        <v>245208.93</v>
      </c>
      <c r="K13" s="21" t="n">
        <v>-160132195.79</v>
      </c>
      <c r="L13" s="15">
        <f>A12-A13</f>
        <v/>
      </c>
      <c r="M13" s="20">
        <f>IF(AND(L13&gt;0,K13&lt;0),K13/365*L13*$M$3,"")</f>
        <v/>
      </c>
    </row>
    <row r="14">
      <c r="A14" s="29" t="n">
        <v>45967</v>
      </c>
      <c r="B14" s="26" t="inlineStr">
        <is>
          <t>452</t>
        </is>
      </c>
      <c r="C14" s="2" t="inlineStr">
        <is>
          <t>רכישה</t>
        </is>
      </c>
      <c r="D14" s="2" t="inlineStr"/>
      <c r="E14" s="26" t="inlineStr">
        <is>
          <t>4441103</t>
        </is>
      </c>
      <c r="F14" s="26" t="inlineStr">
        <is>
          <t>2</t>
        </is>
      </c>
      <c r="G14" s="21" t="n">
        <v>86034000</v>
      </c>
      <c r="I14" s="21" t="n">
        <v>-246411140</v>
      </c>
      <c r="J14" s="21" t="n">
        <v>245208.93</v>
      </c>
      <c r="K14" s="21" t="n">
        <v>-246165931.07</v>
      </c>
      <c r="L14" s="15">
        <f>A13-A14</f>
        <v/>
      </c>
      <c r="M14" s="20">
        <f>IF(AND(L14&gt;0,K14&lt;0),K14/365*L14*$M$3,"")</f>
        <v/>
      </c>
    </row>
    <row r="15">
      <c r="A15" s="29" t="n">
        <v>45967</v>
      </c>
      <c r="B15" s="26" t="inlineStr">
        <is>
          <t>452</t>
        </is>
      </c>
      <c r="C15" s="2" t="inlineStr">
        <is>
          <t>ספוט שקל</t>
        </is>
      </c>
      <c r="D15" s="2" t="inlineStr"/>
      <c r="E15" s="26" t="inlineStr">
        <is>
          <t>4436494</t>
        </is>
      </c>
      <c r="F15" s="26" t="inlineStr">
        <is>
          <t>4</t>
        </is>
      </c>
      <c r="G15" s="21" t="n">
        <v>160377140</v>
      </c>
      <c r="I15" s="21" t="n">
        <v>-160377140</v>
      </c>
      <c r="J15" s="21" t="n">
        <v>245208.93</v>
      </c>
      <c r="K15" s="21" t="n">
        <v>-160131931.07</v>
      </c>
      <c r="L15" s="15">
        <f>A14-A15</f>
        <v/>
      </c>
      <c r="M15" s="20">
        <f>IF(AND(L15&gt;0,K15&lt;0),K15/365*L15*$M$3,"")</f>
        <v/>
      </c>
    </row>
    <row r="16">
      <c r="A16" s="29" t="n">
        <v>45966</v>
      </c>
      <c r="B16" s="26" t="inlineStr">
        <is>
          <t>469</t>
        </is>
      </c>
      <c r="C16" s="2" t="inlineStr">
        <is>
          <t>הוראת-קבע</t>
        </is>
      </c>
      <c r="D16" s="2" t="inlineStr"/>
      <c r="E16" s="26" t="inlineStr">
        <is>
          <t>600463579</t>
        </is>
      </c>
      <c r="F16" s="26" t="inlineStr">
        <is>
          <t>33333</t>
        </is>
      </c>
      <c r="G16" s="21" t="n">
        <v>996837.6</v>
      </c>
      <c r="L16" s="15">
        <f>A15-A16</f>
        <v/>
      </c>
      <c r="M16" s="20">
        <f>IF(AND(L16&gt;0,I16&lt;0),I16/365*L16*$M$3,"")</f>
        <v/>
      </c>
    </row>
    <row r="17">
      <c r="A17" s="29" t="n">
        <v>45966</v>
      </c>
      <c r="B17" s="26" t="inlineStr">
        <is>
          <t>452</t>
        </is>
      </c>
      <c r="C17" s="2" t="inlineStr">
        <is>
          <t>ספוט שקל</t>
        </is>
      </c>
      <c r="D17" s="2" t="inlineStr"/>
      <c r="E17" s="26" t="inlineStr">
        <is>
          <t>4430239</t>
        </is>
      </c>
      <c r="F17" s="26" t="inlineStr">
        <is>
          <t>4</t>
        </is>
      </c>
      <c r="G17" s="21" t="n">
        <v>159380793</v>
      </c>
      <c r="I17" s="21" t="n">
        <v>996837.6</v>
      </c>
      <c r="J17" s="21" t="n">
        <v>245208.93</v>
      </c>
      <c r="K17" s="21" t="n">
        <v>1242046.53</v>
      </c>
      <c r="L17" s="15">
        <f>A16-A17</f>
        <v/>
      </c>
      <c r="M17" s="20">
        <f>IF(AND(L17&gt;0,K17&lt;0),K17/365*L17*$M$3,"")</f>
        <v/>
      </c>
    </row>
    <row r="18">
      <c r="A18" s="29" t="n">
        <v>45966</v>
      </c>
      <c r="B18" s="26" t="inlineStr">
        <is>
          <t>142</t>
        </is>
      </c>
      <c r="C18" s="2" t="inlineStr">
        <is>
          <t>המרה</t>
        </is>
      </c>
      <c r="D18" s="2" t="inlineStr"/>
      <c r="E18" s="26" t="inlineStr">
        <is>
          <t>4436493</t>
        </is>
      </c>
      <c r="F18" s="26" t="inlineStr">
        <is>
          <t>1</t>
        </is>
      </c>
      <c r="H18" s="21" t="n">
        <v>160377630.6</v>
      </c>
      <c r="I18" s="21" t="n">
        <v>160377630.6</v>
      </c>
      <c r="J18" s="21" t="n">
        <v>245208.93</v>
      </c>
      <c r="K18" s="21" t="n">
        <v>160622839.53</v>
      </c>
      <c r="L18" s="15">
        <f>A17-A18</f>
        <v/>
      </c>
      <c r="M18" s="20">
        <f>IF(AND(L18&gt;0,K18&lt;0),K18/365*L18*$M$3,"")</f>
        <v/>
      </c>
    </row>
    <row r="19">
      <c r="A19" s="29" t="n">
        <v>45965</v>
      </c>
      <c r="B19" s="26" t="inlineStr">
        <is>
          <t>469</t>
        </is>
      </c>
      <c r="C19" s="2" t="inlineStr">
        <is>
          <t>הוראת-קבע</t>
        </is>
      </c>
      <c r="D19" s="2" t="inlineStr"/>
      <c r="E19" s="26" t="inlineStr">
        <is>
          <t>600463579</t>
        </is>
      </c>
      <c r="F19" s="26" t="inlineStr">
        <is>
          <t>33333</t>
        </is>
      </c>
      <c r="G19" s="21" t="n">
        <v>8827.25</v>
      </c>
      <c r="L19" s="15">
        <f>A18-A19</f>
        <v/>
      </c>
      <c r="M19" s="20">
        <f>IF(AND(L19&gt;0,I19&lt;0),I19/365*L19*$M$3,"")</f>
        <v/>
      </c>
    </row>
    <row r="20">
      <c r="A20" s="29" t="n">
        <v>45965</v>
      </c>
      <c r="B20" s="26" t="inlineStr">
        <is>
          <t>142</t>
        </is>
      </c>
      <c r="C20" s="2" t="inlineStr">
        <is>
          <t>ספוט שקל</t>
        </is>
      </c>
      <c r="D20" s="2" t="inlineStr"/>
      <c r="E20" s="26" t="inlineStr">
        <is>
          <t>4427953</t>
        </is>
      </c>
      <c r="F20" s="26" t="inlineStr">
        <is>
          <t>4</t>
        </is>
      </c>
      <c r="H20" s="21" t="n">
        <v>159389620.41</v>
      </c>
      <c r="I20" s="21" t="n">
        <v>8827.25</v>
      </c>
      <c r="J20" s="21" t="n">
        <v>245208.93</v>
      </c>
      <c r="K20" s="21" t="n">
        <v>254036.18</v>
      </c>
      <c r="L20" s="15">
        <f>A19-A20</f>
        <v/>
      </c>
      <c r="M20" s="20">
        <f>IF(AND(L20&gt;0,K20&lt;0),K20/365*L20*$M$3,"")</f>
        <v/>
      </c>
    </row>
    <row r="21">
      <c r="A21" s="29" t="n">
        <v>45961</v>
      </c>
      <c r="B21" s="26" t="inlineStr">
        <is>
          <t>452</t>
        </is>
      </c>
      <c r="C21" s="2" t="inlineStr">
        <is>
          <t>רכישה</t>
        </is>
      </c>
      <c r="D21" s="2" t="inlineStr"/>
      <c r="E21" s="26" t="inlineStr">
        <is>
          <t>4427952</t>
        </is>
      </c>
      <c r="F21" s="26" t="inlineStr">
        <is>
          <t>2</t>
        </is>
      </c>
      <c r="G21" s="21" t="n">
        <v>159380793.16</v>
      </c>
      <c r="I21" s="21" t="n">
        <v>-159380793.16</v>
      </c>
      <c r="J21" s="21" t="n">
        <v>245208.93</v>
      </c>
      <c r="K21" s="21" t="n">
        <v>-159135584.23</v>
      </c>
      <c r="L21" s="15">
        <f>A20-A21</f>
        <v/>
      </c>
      <c r="M21" s="20">
        <f>IF(AND(L21&gt;0,K21&lt;0),K21/365*L21*$M$3,"")</f>
        <v/>
      </c>
    </row>
    <row r="22">
      <c r="A22" s="29" t="n">
        <v>45952</v>
      </c>
      <c r="B22" s="26" t="inlineStr">
        <is>
          <t>469</t>
        </is>
      </c>
      <c r="C22" s="2" t="inlineStr">
        <is>
          <t>הוראת-קבע</t>
        </is>
      </c>
      <c r="D22" s="2" t="inlineStr"/>
      <c r="E22" s="26" t="inlineStr">
        <is>
          <t>600463579</t>
        </is>
      </c>
      <c r="F22" s="26" t="inlineStr">
        <is>
          <t>33333</t>
        </is>
      </c>
      <c r="G22" s="21" t="n">
        <v>-2288234.4</v>
      </c>
      <c r="L22" s="15">
        <f>A21-A22</f>
        <v/>
      </c>
      <c r="M22" s="20">
        <f>IF(AND(L22&gt;0,I22&lt;0),I22/365*L22*$M$3,"")</f>
        <v/>
      </c>
    </row>
    <row r="23">
      <c r="A23" s="29" t="n">
        <v>45951</v>
      </c>
      <c r="B23" s="26" t="inlineStr">
        <is>
          <t>142</t>
        </is>
      </c>
      <c r="C23" s="2" t="inlineStr">
        <is>
          <t>ספוט שקל</t>
        </is>
      </c>
      <c r="D23" s="2" t="inlineStr"/>
      <c r="E23" s="26" t="inlineStr">
        <is>
          <t>4402763</t>
        </is>
      </c>
      <c r="F23" s="26" t="inlineStr">
        <is>
          <t>4</t>
        </is>
      </c>
      <c r="H23" s="21" t="n">
        <v>26266620.93</v>
      </c>
      <c r="I23" s="21" t="n">
        <v>-2288234.4</v>
      </c>
      <c r="J23" s="21" t="n">
        <v>245208.93</v>
      </c>
      <c r="K23" s="21" t="n">
        <v>-2043025.47</v>
      </c>
      <c r="L23" s="15">
        <f>A22-A23</f>
        <v/>
      </c>
      <c r="M23" s="20">
        <f>IF(AND(L23&gt;0,K23&lt;0),K23/365*L23*$M$3,"")</f>
        <v/>
      </c>
    </row>
    <row r="24">
      <c r="A24" s="29" t="n">
        <v>45950</v>
      </c>
      <c r="B24" s="26" t="inlineStr">
        <is>
          <t>471</t>
        </is>
      </c>
      <c r="C24" s="2" t="inlineStr">
        <is>
          <t>ניע עמלת העברה</t>
        </is>
      </c>
      <c r="D24" s="2" t="inlineStr"/>
      <c r="E24" s="26" t="inlineStr">
        <is>
          <t>72985955</t>
        </is>
      </c>
      <c r="F24" s="26" t="inlineStr">
        <is>
          <t>1080</t>
        </is>
      </c>
      <c r="G24" s="21" t="n">
        <v>5</v>
      </c>
      <c r="I24" s="21" t="n">
        <v>-28554855.33</v>
      </c>
      <c r="J24" s="21" t="n">
        <v>245208.93</v>
      </c>
      <c r="K24" s="21" t="n">
        <v>-28309646.4</v>
      </c>
      <c r="L24" s="15">
        <f>A23-A24</f>
        <v/>
      </c>
      <c r="M24" s="20">
        <f>IF(AND(L24&gt;0,K24&lt;0),K24/365*L24*$M$3,"")</f>
        <v/>
      </c>
    </row>
    <row r="25">
      <c r="A25" s="29" t="n">
        <v>45950</v>
      </c>
      <c r="B25" s="26" t="inlineStr">
        <is>
          <t>452</t>
        </is>
      </c>
      <c r="C25" s="2" t="inlineStr">
        <is>
          <t>רכישה</t>
        </is>
      </c>
      <c r="D25" s="2" t="inlineStr"/>
      <c r="E25" s="26" t="inlineStr">
        <is>
          <t>4402762</t>
        </is>
      </c>
      <c r="F25" s="26" t="inlineStr">
        <is>
          <t>2</t>
        </is>
      </c>
      <c r="G25" s="21" t="n">
        <v>26266700.29</v>
      </c>
      <c r="I25" s="21" t="n">
        <v>-28554850.33</v>
      </c>
      <c r="J25" s="21" t="n">
        <v>245208.93</v>
      </c>
      <c r="K25" s="21" t="n">
        <v>-28309641.4</v>
      </c>
      <c r="L25" s="15">
        <f>A24-A25</f>
        <v/>
      </c>
      <c r="M25" s="20">
        <f>IF(AND(L25&gt;0,K25&lt;0),K25/365*L25*$M$3,"")</f>
        <v/>
      </c>
    </row>
    <row r="26">
      <c r="A26" s="29" t="n">
        <v>45950</v>
      </c>
      <c r="B26" s="26" t="inlineStr">
        <is>
          <t>142</t>
        </is>
      </c>
      <c r="C26" s="2" t="inlineStr">
        <is>
          <t>ספוט שקל</t>
        </is>
      </c>
      <c r="D26" s="2" t="inlineStr"/>
      <c r="E26" s="26" t="inlineStr">
        <is>
          <t>4400404</t>
        </is>
      </c>
      <c r="F26" s="26" t="inlineStr">
        <is>
          <t>4</t>
        </is>
      </c>
      <c r="H26" s="21" t="n">
        <v>26369707.17</v>
      </c>
      <c r="I26" s="21" t="n">
        <v>-2288150.04</v>
      </c>
      <c r="J26" s="21" t="n">
        <v>245208.93</v>
      </c>
      <c r="K26" s="21" t="n">
        <v>-2042941.11</v>
      </c>
      <c r="L26" s="15">
        <f>A25-A26</f>
        <v/>
      </c>
      <c r="M26" s="20">
        <f>IF(AND(L26&gt;0,K26&lt;0),K26/365*L26*$M$3,"")</f>
        <v/>
      </c>
    </row>
    <row r="27">
      <c r="A27" s="29" t="n">
        <v>45947</v>
      </c>
      <c r="B27" s="26" t="inlineStr">
        <is>
          <t>452</t>
        </is>
      </c>
      <c r="C27" s="2" t="inlineStr">
        <is>
          <t>רכישה</t>
        </is>
      </c>
      <c r="D27" s="2" t="inlineStr"/>
      <c r="E27" s="26" t="inlineStr">
        <is>
          <t>4400403</t>
        </is>
      </c>
      <c r="F27" s="26" t="inlineStr">
        <is>
          <t>2</t>
        </is>
      </c>
      <c r="G27" s="21" t="n">
        <v>26369865.88</v>
      </c>
      <c r="I27" s="21" t="n">
        <v>-28657857.21</v>
      </c>
      <c r="J27" s="21" t="n">
        <v>245208.93</v>
      </c>
      <c r="K27" s="21" t="n">
        <v>-28412648.28</v>
      </c>
      <c r="L27" s="15">
        <f>A26-A27</f>
        <v/>
      </c>
      <c r="M27" s="20">
        <f>IF(AND(L27&gt;0,K27&lt;0),K27/365*L27*$M$3,"")</f>
        <v/>
      </c>
    </row>
    <row r="28">
      <c r="A28" s="29" t="n">
        <v>45940</v>
      </c>
      <c r="B28" s="26" t="inlineStr">
        <is>
          <t>452</t>
        </is>
      </c>
      <c r="C28" s="2" t="inlineStr">
        <is>
          <t>ספוט שקל</t>
        </is>
      </c>
      <c r="D28" s="2" t="inlineStr"/>
      <c r="E28" s="26" t="inlineStr">
        <is>
          <t>4384156</t>
        </is>
      </c>
      <c r="F28" s="26" t="inlineStr">
        <is>
          <t>4</t>
        </is>
      </c>
      <c r="G28" s="21" t="n">
        <v>2287991.33</v>
      </c>
      <c r="I28" s="21" t="n">
        <v>-2287991.33</v>
      </c>
      <c r="J28" s="21" t="n">
        <v>245208.93</v>
      </c>
      <c r="K28" s="21" t="n">
        <v>-2042782.4</v>
      </c>
      <c r="L28" s="15">
        <f>A27-A28</f>
        <v/>
      </c>
      <c r="M28" s="20">
        <f>IF(AND(L28&gt;0,K28&lt;0),K28/365*L28*$M$3,"")</f>
        <v/>
      </c>
    </row>
    <row r="29">
      <c r="A29" s="29" t="n">
        <v>45938</v>
      </c>
      <c r="B29" s="26" t="inlineStr">
        <is>
          <t>469</t>
        </is>
      </c>
      <c r="C29" s="2" t="inlineStr">
        <is>
          <t>הוראת-קבע</t>
        </is>
      </c>
      <c r="D29" s="2" t="inlineStr"/>
      <c r="E29" s="26" t="inlineStr">
        <is>
          <t>600463579</t>
        </is>
      </c>
      <c r="F29" s="26" t="inlineStr">
        <is>
          <t>33333</t>
        </is>
      </c>
      <c r="G29" s="21" t="n">
        <v>224436.59</v>
      </c>
      <c r="L29" s="15">
        <f>A28-A29</f>
        <v/>
      </c>
      <c r="M29" s="20">
        <f>IF(AND(L29&gt;0,I29&lt;0),I29/365*L29*$M$3,"")</f>
        <v/>
      </c>
    </row>
    <row r="30">
      <c r="A30" s="29" t="n">
        <v>45938</v>
      </c>
      <c r="B30" s="26" t="inlineStr">
        <is>
          <t>452</t>
        </is>
      </c>
      <c r="C30" s="2" t="inlineStr">
        <is>
          <t>החלף מטבע</t>
        </is>
      </c>
      <c r="D30" s="2" t="inlineStr"/>
      <c r="E30" s="26" t="inlineStr">
        <is>
          <t>744881</t>
        </is>
      </c>
      <c r="F30" s="26" t="inlineStr">
        <is>
          <t>22</t>
        </is>
      </c>
      <c r="G30" s="21" t="n">
        <v>2063496.24</v>
      </c>
      <c r="I30" s="21" t="n">
        <v>224436.59</v>
      </c>
      <c r="J30" s="21" t="n">
        <v>245208.93</v>
      </c>
      <c r="K30" s="21" t="n">
        <v>469645.52</v>
      </c>
      <c r="L30" s="15">
        <f>A29-A30</f>
        <v/>
      </c>
      <c r="M30" s="20">
        <f>IF(AND(L30&gt;0,K30&lt;0),K30/365*L30*$M$3,"")</f>
        <v/>
      </c>
    </row>
    <row r="31">
      <c r="A31" s="29" t="n">
        <v>45938</v>
      </c>
      <c r="B31" s="26" t="inlineStr">
        <is>
          <t>142</t>
        </is>
      </c>
      <c r="C31" s="2" t="inlineStr">
        <is>
          <t>המרה</t>
        </is>
      </c>
      <c r="D31" s="2" t="inlineStr"/>
      <c r="E31" s="26" t="inlineStr">
        <is>
          <t>4384155</t>
        </is>
      </c>
      <c r="F31" s="26" t="inlineStr">
        <is>
          <t>1</t>
        </is>
      </c>
      <c r="H31" s="21" t="n">
        <v>2287956.51</v>
      </c>
      <c r="I31" s="21" t="n">
        <v>2287932.83</v>
      </c>
      <c r="J31" s="21" t="n">
        <v>245208.93</v>
      </c>
      <c r="K31" s="21" t="n">
        <v>2533141.76</v>
      </c>
      <c r="L31" s="15">
        <f>A30-A31</f>
        <v/>
      </c>
      <c r="M31" s="20">
        <f>IF(AND(L31&gt;0,K31&lt;0),K31/365*L31*$M$3,"")</f>
        <v/>
      </c>
    </row>
    <row r="32">
      <c r="A32" s="29" t="n">
        <v>45936</v>
      </c>
      <c r="B32" s="26" t="inlineStr">
        <is>
          <t>472</t>
        </is>
      </c>
      <c r="C32" s="2" t="inlineStr">
        <is>
          <t>רבית (תאריך ערך: 03/10)</t>
        </is>
      </c>
      <c r="D32" s="2" t="inlineStr"/>
      <c r="E32" s="26" t="inlineStr">
        <is>
          <t>925</t>
        </is>
      </c>
      <c r="F32" s="26" t="inlineStr">
        <is>
          <t>0</t>
        </is>
      </c>
      <c r="G32" s="21" t="n">
        <v>23.68</v>
      </c>
      <c r="I32" s="21" t="n">
        <v>-23.68</v>
      </c>
      <c r="J32" s="21" t="n">
        <v>245208.93</v>
      </c>
      <c r="K32" s="21" t="n">
        <v>245185.25</v>
      </c>
      <c r="L32" s="15">
        <f>A31-A32</f>
        <v/>
      </c>
      <c r="M32" s="20">
        <f>IF(AND(L32&gt;0,K32&lt;0),K32/365*L32*$M$3,"")</f>
        <v/>
      </c>
    </row>
    <row r="33">
      <c r="A33" s="29" t="n">
        <v>45930</v>
      </c>
      <c r="B33" s="26" t="inlineStr">
        <is>
          <t>469</t>
        </is>
      </c>
      <c r="C33" s="2" t="inlineStr">
        <is>
          <t>הוראת-קבע</t>
        </is>
      </c>
      <c r="D33" s="2" t="inlineStr"/>
      <c r="E33" s="26" t="inlineStr">
        <is>
          <t>600463579</t>
        </is>
      </c>
      <c r="F33" s="26" t="inlineStr">
        <is>
          <t>33333</t>
        </is>
      </c>
      <c r="G33" s="21" t="n">
        <v>230530.78</v>
      </c>
      <c r="L33" s="15">
        <f>A32-A33</f>
        <v/>
      </c>
      <c r="M33" s="20">
        <f>IF(AND(L33&gt;0,I33&lt;0),I33/365*L33*$M$3,"")</f>
        <v/>
      </c>
    </row>
    <row r="34">
      <c r="M34" s="30">
        <f>SUM(M4:M33)</f>
        <v/>
      </c>
      <c r="N34" s="30">
        <f>SUM(N4:N33)</f>
        <v/>
      </c>
      <c r="O34" s="30">
        <f>SUM(M34:N34)</f>
        <v/>
      </c>
      <c r="P34" s="4" t="inlineStr">
        <is>
          <t>סכום לתשלום</t>
        </is>
      </c>
    </row>
    <row r="35">
      <c r="O35" s="20">
        <f>-'פירוט ריבית חובה לפי PDF'!G31</f>
        <v/>
      </c>
      <c r="P35" s="2" t="inlineStr">
        <is>
          <t>סכום שירד בפועל</t>
        </is>
      </c>
    </row>
    <row r="36">
      <c r="O36" s="22">
        <f>O34-O35</f>
        <v/>
      </c>
      <c r="P36" s="31" t="inlineStr">
        <is>
          <t xml:space="preserve">החזר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2026-04-03T06:35:09Z</dcterms:created>
  <dcterms:modified xmlns:dcterms="http://purl.org/dc/terms/" xmlns:xsi="http://www.w3.org/2001/XMLSchema-instance" xsi:type="dcterms:W3CDTF">2026-04-03T06:35:10Z</dcterms:modified>
</cp:coreProperties>
</file>