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0" fontId="4" fillId="5" borderId="0" applyAlignment="1" pivotButton="0" quotePrefix="0" xfId="0">
      <alignment horizontal="general" vertical="bottom" readingOrder="2"/>
    </xf>
    <xf numFmtId="0" fontId="3" fillId="5" borderId="0" applyAlignment="1" pivotButton="0" quotePrefix="0" xfId="0">
      <alignment horizontal="general" vertical="bottom" readingOrder="2"/>
    </xf>
    <xf numFmtId="0" fontId="3" fillId="0" borderId="1" applyAlignment="1" pivotButton="0" quotePrefix="0" xfId="0">
      <alignment horizontal="center" vertical="bottom" readingOrder="2"/>
    </xf>
    <xf numFmtId="10" fontId="3" fillId="0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3" fontId="0" fillId="0" borderId="0" applyAlignment="1" pivotButton="0" quotePrefix="0" xfId="0">
      <alignment horizontal="right" vertical="bottom" readingOrder="2"/>
    </xf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672550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80,000,000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80000000</v>
      </c>
      <c r="F11" s="17" t="n">
        <v>0.04849999999999999</v>
      </c>
      <c r="G11" s="18" t="n">
        <v>0</v>
      </c>
      <c r="H11" s="19" t="n">
        <v>0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0.04849999999999999</v>
      </c>
      <c r="G12" s="18" t="n">
        <v>0</v>
      </c>
      <c r="H12" s="19" t="n">
        <v>0</v>
      </c>
      <c r="J12" s="20">
        <f>($J$9-F12)*G12/365</f>
        <v/>
      </c>
    </row>
    <row r="13">
      <c r="A13" s="12" t="n">
        <v>45962</v>
      </c>
      <c r="B13" s="12" t="n">
        <v>45987</v>
      </c>
      <c r="C13" s="13" t="inlineStr">
        <is>
          <t>80,000,000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80000000</v>
      </c>
      <c r="F14" s="17" t="n">
        <v>0.04849999999999999</v>
      </c>
      <c r="G14" s="18" t="n">
        <v>0</v>
      </c>
      <c r="H14" s="19" t="n">
        <v>0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0.04849999999999999</v>
      </c>
      <c r="G15" s="18" t="n">
        <v>0</v>
      </c>
      <c r="H15" s="19" t="n">
        <v>0</v>
      </c>
      <c r="J15" s="20">
        <f>($J$9-F15)*G15/365</f>
        <v/>
      </c>
    </row>
    <row r="16">
      <c r="A16" s="12" t="n">
        <v>45988</v>
      </c>
      <c r="B16" s="12" t="n">
        <v>45991</v>
      </c>
      <c r="C16" s="13" t="inlineStr">
        <is>
          <t>80,000,000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80000000</v>
      </c>
      <c r="F17" s="17" t="n">
        <v>0.046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0.046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45992</v>
      </c>
      <c r="B19" s="12" t="n">
        <v>46022</v>
      </c>
      <c r="C19" s="13" t="inlineStr">
        <is>
          <t>80,000,000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80000000</v>
      </c>
      <c r="F20" s="17" t="n">
        <v>0.046</v>
      </c>
      <c r="G20" s="18" t="n">
        <v>80000000</v>
      </c>
      <c r="H20" s="19" t="n">
        <v>10082.19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</v>
      </c>
      <c r="G21" s="18" t="n">
        <v>119681253.83</v>
      </c>
      <c r="H21" s="19" t="n">
        <v>15083.12</v>
      </c>
      <c r="K21" s="20">
        <f>($K$9-F21)*G21/365</f>
        <v/>
      </c>
    </row>
    <row r="23">
      <c r="A23" s="4" t="inlineStr">
        <is>
          <t>סה"כ ריבית חובה:</t>
        </is>
      </c>
      <c r="F23" s="2" t="inlineStr">
        <is>
          <t>מדרגה 1</t>
        </is>
      </c>
      <c r="G23" s="21" t="n">
        <v>10082.19</v>
      </c>
      <c r="J23" s="22">
        <f>SUM(J11:J21)</f>
        <v/>
      </c>
      <c r="K23" s="22">
        <f>SUM(K11:K21)</f>
        <v/>
      </c>
      <c r="L23" s="22">
        <f>SUM(J23:K23)</f>
        <v/>
      </c>
      <c r="M23" s="4" t="inlineStr">
        <is>
          <t>החזר</t>
        </is>
      </c>
    </row>
    <row r="24">
      <c r="F24" s="2" t="inlineStr">
        <is>
          <t>חריגה</t>
        </is>
      </c>
      <c r="G24" s="21" t="n">
        <v>15083.12</v>
      </c>
    </row>
    <row r="25">
      <c r="G25" s="23">
        <f>SUM(G23:G24)</f>
        <v/>
      </c>
    </row>
    <row r="26">
      <c r="A26" s="4" t="inlineStr">
        <is>
          <t>חשבונך חויב ב- 01/01/26 בסכום של: 25,165.31 ש"ח.</t>
        </is>
      </c>
    </row>
    <row r="28">
      <c r="A28" s="4" t="inlineStr">
        <is>
          <t>לידיעתך:</t>
        </is>
      </c>
    </row>
    <row r="29">
      <c r="A29" s="24" t="inlineStr">
        <is>
          <t>מספרי חובה - נתון זה הינו סיכום (חיבור) של יתרות החובה בפועל (לפי תאריכי ערך)</t>
        </is>
      </c>
    </row>
    <row r="30">
      <c r="A30" s="25" t="inlineStr">
        <is>
          <t>בתקופת החישוב לגביה מחושבת ריבית החובה במדרגה הנדונה.</t>
        </is>
      </c>
    </row>
    <row r="31">
      <c r="A31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12-600-672550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6" customWidth="1" min="12" max="12"/>
    <col width="22" customWidth="1" min="13" max="13"/>
    <col width="18" customWidth="1" min="14" max="14"/>
  </cols>
  <sheetData>
    <row r="1">
      <c r="L1" s="3" t="inlineStr">
        <is>
          <t>תקופה 1</t>
        </is>
      </c>
      <c r="M1" s="3" t="inlineStr">
        <is>
          <t>תקופה 2</t>
        </is>
      </c>
      <c r="N1" s="3" t="inlineStr">
        <is>
          <t>תאריך שינוי ריבית</t>
        </is>
      </c>
    </row>
    <row r="2">
      <c r="K2" s="4" t="inlineStr">
        <is>
          <t>ריבית בנק ישראל</t>
        </is>
      </c>
      <c r="L2" s="5" t="n">
        <v>0.045</v>
      </c>
      <c r="M2" s="5" t="n">
        <v>0.0425</v>
      </c>
      <c r="N2" s="26" t="inlineStr">
        <is>
          <t>27.11</t>
        </is>
      </c>
    </row>
    <row r="3">
      <c r="K3" s="4" t="inlineStr">
        <is>
          <t>מרווח ריבית חובה</t>
        </is>
      </c>
      <c r="L3" s="7" t="n">
        <v>0.0035</v>
      </c>
    </row>
    <row r="4">
      <c r="A4" s="29" t="inlineStr">
        <is>
          <t>תנועות בחשבון</t>
        </is>
      </c>
      <c r="K4" s="4" t="inlineStr">
        <is>
          <t>מרווח ריבית זכות</t>
        </is>
      </c>
      <c r="L4" s="7" t="n">
        <v>-0.006</v>
      </c>
    </row>
    <row r="5">
      <c r="A5" s="30" t="inlineStr">
        <is>
          <t>מספר חשבון 12-600-672550 לתקופה: 01/10/25 - 31/12/25</t>
        </is>
      </c>
      <c r="L5" s="3" t="inlineStr">
        <is>
          <t>ריבית חובה</t>
        </is>
      </c>
      <c r="M5" s="3" t="inlineStr">
        <is>
          <t>ריבית חובה 2</t>
        </is>
      </c>
    </row>
    <row r="6">
      <c r="A6" s="28" t="inlineStr">
        <is>
          <t>תאריך</t>
        </is>
      </c>
      <c r="B6" s="31" t="inlineStr">
        <is>
          <t>קוד פעולה</t>
        </is>
      </c>
      <c r="C6" s="31" t="inlineStr">
        <is>
          <t>הפעולה</t>
        </is>
      </c>
      <c r="D6" s="31" t="inlineStr">
        <is>
          <t>פרטים</t>
        </is>
      </c>
      <c r="E6" s="31" t="inlineStr">
        <is>
          <t>אסמכתא</t>
        </is>
      </c>
      <c r="F6" s="31" t="inlineStr">
        <is>
          <t>צרור</t>
        </is>
      </c>
      <c r="G6" s="31" t="inlineStr">
        <is>
          <t>חובה</t>
        </is>
      </c>
      <c r="H6" s="31" t="inlineStr">
        <is>
          <t>זכות</t>
        </is>
      </c>
      <c r="I6" s="31" t="inlineStr">
        <is>
          <t>יתרה בש"ח</t>
        </is>
      </c>
      <c r="J6" s="28" t="inlineStr">
        <is>
          <t>מספר ימים</t>
        </is>
      </c>
      <c r="K6" s="32">
        <f>$L$2+$L$3</f>
        <v/>
      </c>
      <c r="L6" s="32">
        <f>$M$2+$L$3</f>
        <v/>
      </c>
    </row>
    <row r="7">
      <c r="A7" s="33" t="n">
        <v>46023</v>
      </c>
    </row>
    <row r="8">
      <c r="K8" s="23" t="n">
        <v>0</v>
      </c>
      <c r="L8" s="4" t="inlineStr">
        <is>
          <t>ריבית מחושבת</t>
        </is>
      </c>
    </row>
    <row r="9">
      <c r="K9" s="34">
        <f>-INT('פירוט ריבית חובה לפי PDF'!G25)</f>
        <v/>
      </c>
      <c r="L9" s="2" t="inlineStr">
        <is>
          <t>ריבית שירדה בפועל</t>
        </is>
      </c>
    </row>
    <row r="10">
      <c r="K10" s="22">
        <f>K8-K9</f>
        <v/>
      </c>
      <c r="L10" s="35" t="inlineStr">
        <is>
          <t>החזר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2026-03-12T12:49:42Z</dcterms:created>
  <dcterms:modified xsi:type="dcterms:W3CDTF">2026-03-12T12:49:42Z</dcterms:modified>
</cp:coreProperties>
</file>