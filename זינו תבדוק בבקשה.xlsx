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ank_Automation\"/>
    </mc:Choice>
  </mc:AlternateContent>
  <xr:revisionPtr revIDLastSave="0" documentId="13_ncr:1_{5F6F4147-D1E2-4835-A3E2-747F4C9C169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פירוט ריבית חובה לפי PDF" sheetId="1" r:id="rId1"/>
    <sheet name="בנק" sheetId="2" r:id="rId2"/>
    <sheet name="חישוב החזר לפי יתרות בבנק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" l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L6" i="3"/>
  <c r="K6" i="3"/>
  <c r="G25" i="1"/>
  <c r="I22" i="1"/>
  <c r="J21" i="1"/>
  <c r="I21" i="1"/>
  <c r="J20" i="1"/>
  <c r="I20" i="1"/>
  <c r="J18" i="1"/>
  <c r="I18" i="1"/>
  <c r="J17" i="1"/>
  <c r="I17" i="1"/>
  <c r="I15" i="1"/>
  <c r="I14" i="1"/>
  <c r="I12" i="1"/>
  <c r="I11" i="1"/>
  <c r="L9" i="1"/>
  <c r="K9" i="1"/>
  <c r="J9" i="1"/>
  <c r="I9" i="1"/>
  <c r="K20" i="3" l="1"/>
  <c r="K19" i="3"/>
  <c r="K18" i="3"/>
  <c r="K17" i="3"/>
  <c r="K16" i="3"/>
  <c r="K15" i="3"/>
  <c r="K13" i="3"/>
  <c r="K12" i="3"/>
  <c r="K10" i="3"/>
  <c r="K23" i="3"/>
  <c r="K22" i="3"/>
  <c r="K21" i="3"/>
  <c r="K14" i="3"/>
  <c r="K11" i="3"/>
  <c r="K9" i="3"/>
  <c r="K8" i="3"/>
  <c r="K7" i="3"/>
  <c r="K24" i="3" l="1"/>
  <c r="K26" i="3" s="1"/>
</calcChain>
</file>

<file path=xl/sharedStrings.xml><?xml version="1.0" encoding="utf-8"?>
<sst xmlns="http://schemas.openxmlformats.org/spreadsheetml/2006/main" count="288" uniqueCount="108">
  <si>
    <t>בנק הפועלים</t>
  </si>
  <si>
    <t>ארביטראז' גלובל אל פי</t>
  </si>
  <si>
    <t>תקופה 1</t>
  </si>
  <si>
    <t>תקופה 2</t>
  </si>
  <si>
    <t>תאריך שינוי ריבית</t>
  </si>
  <si>
    <t>סניף מרכז תפעולי עסקי 600</t>
  </si>
  <si>
    <t>דרך בגין 144</t>
  </si>
  <si>
    <t>ריבית בנק ישראל</t>
  </si>
  <si>
    <t>מס: 03-6532407</t>
  </si>
  <si>
    <t>תל אביב - יפו</t>
  </si>
  <si>
    <t>מרווח ריבית חובה</t>
  </si>
  <si>
    <t>מס חשבון 463560 600</t>
  </si>
  <si>
    <t>6492102</t>
  </si>
  <si>
    <t>מרווח ריבית זכות</t>
  </si>
  <si>
    <t xml:space="preserve">תאריך הדפסה </t>
  </si>
  <si>
    <t>הנדון: פירוט חיוב הריבית מיום 01/01/26 לתקופה 01/10/25 - 31/12/25</t>
  </si>
  <si>
    <t>אם יש יתרות זכות אז יחושב פה</t>
  </si>
  <si>
    <t>מתאריך</t>
  </si>
  <si>
    <t>עד תאריך</t>
  </si>
  <si>
    <t>מסגרת חח"ד</t>
  </si>
  <si>
    <t>מסגרת נוספת חד-צדדית</t>
  </si>
  <si>
    <t>גובה המדרגה (ש"ח)</t>
  </si>
  <si>
    <t>אחוז ריבית</t>
  </si>
  <si>
    <t>מספרי חובה</t>
  </si>
  <si>
    <t>ריבית חובה (ש"ח)</t>
  </si>
  <si>
    <t>01/10/25</t>
  </si>
  <si>
    <t>31/10/25</t>
  </si>
  <si>
    <t>80,000,000 ש"ח</t>
  </si>
  <si>
    <t>מדרגה 1</t>
  </si>
  <si>
    <t>חריגה</t>
  </si>
  <si>
    <t>01/11/25</t>
  </si>
  <si>
    <t>26/11/25</t>
  </si>
  <si>
    <t>27/11/25</t>
  </si>
  <si>
    <t>30/11/25</t>
  </si>
  <si>
    <t>01/12/25</t>
  </si>
  <si>
    <t>31/12/25</t>
  </si>
  <si>
    <t>החזר</t>
  </si>
  <si>
    <t>סה"כ ריבית חובה:</t>
  </si>
  <si>
    <t>חשבונך חויב ב- 01/01/26 בסכום של: 25,165.31 ש"ח.</t>
  </si>
  <si>
    <t>לידיעתך:</t>
  </si>
  <si>
    <t>מספרי חובה - נתון זה הינו סיכום (חיבור) של יתרות החובה בפועל (לפי תאריכי ערך)</t>
  </si>
  <si>
    <t>בתקופת החישוב לגביה מחושבת ריבית החובה במדרגה הנדונה.</t>
  </si>
  <si>
    <t>27.11</t>
  </si>
  <si>
    <t>תנועות בחשבון</t>
  </si>
  <si>
    <t>מספר חשבון 12-600-463560 לתקופה: 01/10/25 - 31/12/25</t>
  </si>
  <si>
    <t>תאריך</t>
  </si>
  <si>
    <t>קוד פעולה</t>
  </si>
  <si>
    <t>הפעולה</t>
  </si>
  <si>
    <t>פרטים</t>
  </si>
  <si>
    <t>אסמכתא</t>
  </si>
  <si>
    <t>צרור</t>
  </si>
  <si>
    <t>חובה</t>
  </si>
  <si>
    <t>זכות</t>
  </si>
  <si>
    <t>יתרה בש"ח</t>
  </si>
  <si>
    <t>הערה</t>
  </si>
  <si>
    <t>472</t>
  </si>
  <si>
    <t>רבית (תאריך ערך: 01/01)</t>
  </si>
  <si>
    <t>1225</t>
  </si>
  <si>
    <t>0</t>
  </si>
  <si>
    <t>469</t>
  </si>
  <si>
    <t>הוראת-קבע</t>
  </si>
  <si>
    <t>600463579</t>
  </si>
  <si>
    <t>33333</t>
  </si>
  <si>
    <t>452</t>
  </si>
  <si>
    <t>החלף ריבית</t>
  </si>
  <si>
    <t>808516</t>
  </si>
  <si>
    <t>20</t>
  </si>
  <si>
    <t>142</t>
  </si>
  <si>
    <t>760449</t>
  </si>
  <si>
    <t>745619</t>
  </si>
  <si>
    <t>786124</t>
  </si>
  <si>
    <t>783899</t>
  </si>
  <si>
    <t>פורוורד שקל</t>
  </si>
  <si>
    <t>4430240</t>
  </si>
  <si>
    <t>6</t>
  </si>
  <si>
    <t>ספוט שקל</t>
  </si>
  <si>
    <t>4441104</t>
  </si>
  <si>
    <t>4</t>
  </si>
  <si>
    <t>רכישה</t>
  </si>
  <si>
    <t>4441103</t>
  </si>
  <si>
    <t>2</t>
  </si>
  <si>
    <t>4436494</t>
  </si>
  <si>
    <t>4430239</t>
  </si>
  <si>
    <t>המרה</t>
  </si>
  <si>
    <t>4436493</t>
  </si>
  <si>
    <t>1</t>
  </si>
  <si>
    <t>4427953</t>
  </si>
  <si>
    <t>4427952</t>
  </si>
  <si>
    <t>4402763</t>
  </si>
  <si>
    <t>471</t>
  </si>
  <si>
    <t>ניע עמלת העברה</t>
  </si>
  <si>
    <t>72985955</t>
  </si>
  <si>
    <t>1080</t>
  </si>
  <si>
    <t>4402762</t>
  </si>
  <si>
    <t>4400404</t>
  </si>
  <si>
    <t>4400403</t>
  </si>
  <si>
    <t>4384156</t>
  </si>
  <si>
    <t>החלף מטבע</t>
  </si>
  <si>
    <t>744881</t>
  </si>
  <si>
    <t>22</t>
  </si>
  <si>
    <t>4384155</t>
  </si>
  <si>
    <t>רבית (תאריך ערך: 03/10)</t>
  </si>
  <si>
    <t>925</t>
  </si>
  <si>
    <t>ריבית חובה</t>
  </si>
  <si>
    <t>ריבית חובה 2</t>
  </si>
  <si>
    <t>מספר ימים</t>
  </si>
  <si>
    <t>ריבית מחושבת</t>
  </si>
  <si>
    <t>ריבית שירדה בפועל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</si>
</sst>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3" fillId="0" borderId="0" xfId="0" applyFont="1" applyAlignment="1">
      <alignment horizontal="center" readingOrder="2"/>
    </xf>
    <xf numFmtId="0" fontId="3" fillId="0" borderId="0" xfId="0" applyFont="1" applyAlignment="1">
      <alignment readingOrder="2"/>
    </xf>
    <xf numFmtId="10" fontId="2" fillId="0" borderId="0" xfId="0" applyNumberFormat="1" applyFont="1" applyAlignment="1">
      <alignment horizontal="center" readingOrder="2"/>
    </xf>
    <xf numFmtId="2" fontId="2" fillId="0" borderId="0" xfId="0" applyNumberFormat="1" applyFont="1" applyAlignment="1">
      <alignment horizontal="center" readingOrder="2"/>
    </xf>
    <xf numFmtId="10" fontId="2" fillId="2" borderId="0" xfId="0" applyNumberFormat="1" applyFont="1" applyFill="1" applyAlignment="1">
      <alignment horizontal="center" readingOrder="2"/>
    </xf>
    <xf numFmtId="0" fontId="4" fillId="0" borderId="0" xfId="0" applyFont="1" applyAlignment="1">
      <alignment wrapText="1" readingOrder="2"/>
    </xf>
    <xf numFmtId="0" fontId="3" fillId="3" borderId="1" xfId="0" applyFont="1" applyFill="1" applyBorder="1" applyAlignment="1">
      <alignment horizontal="center" readingOrder="2"/>
    </xf>
    <xf numFmtId="0" fontId="3" fillId="4" borderId="1" xfId="0" applyFont="1" applyFill="1" applyBorder="1" applyAlignment="1">
      <alignment horizontal="center" readingOrder="2"/>
    </xf>
    <xf numFmtId="10" fontId="3" fillId="0" borderId="0" xfId="0" applyNumberFormat="1" applyFont="1" applyAlignment="1">
      <alignment horizontal="center" readingOrder="2"/>
    </xf>
    <xf numFmtId="164" fontId="2" fillId="0" borderId="1" xfId="0" applyNumberFormat="1" applyFont="1" applyBorder="1" applyAlignment="1">
      <alignment readingOrder="2"/>
    </xf>
    <xf numFmtId="0" fontId="2" fillId="0" borderId="1" xfId="0" applyFont="1" applyBorder="1" applyAlignment="1">
      <alignment readingOrder="2"/>
    </xf>
    <xf numFmtId="0" fontId="0" fillId="0" borderId="1" xfId="0" applyBorder="1"/>
    <xf numFmtId="3" fontId="2" fillId="0" borderId="1" xfId="0" applyNumberFormat="1" applyFont="1" applyBorder="1" applyAlignment="1">
      <alignment horizontal="right" readingOrder="2"/>
    </xf>
    <xf numFmtId="10" fontId="2" fillId="0" borderId="1" xfId="0" applyNumberFormat="1" applyFont="1" applyBorder="1" applyAlignment="1">
      <alignment horizontal="center" readingOrder="2"/>
    </xf>
    <xf numFmtId="0" fontId="2" fillId="0" borderId="1" xfId="0" applyFont="1" applyBorder="1" applyAlignment="1">
      <alignment horizontal="right" readingOrder="2"/>
    </xf>
    <xf numFmtId="4" fontId="2" fillId="0" borderId="1" xfId="0" applyNumberFormat="1" applyFont="1" applyBorder="1" applyAlignment="1">
      <alignment horizontal="right" readingOrder="2"/>
    </xf>
    <xf numFmtId="4" fontId="0" fillId="0" borderId="0" xfId="0" applyNumberFormat="1" applyAlignment="1">
      <alignment horizontal="right" readingOrder="2"/>
    </xf>
    <xf numFmtId="4" fontId="3" fillId="4" borderId="0" xfId="0" applyNumberFormat="1" applyFont="1" applyFill="1" applyAlignment="1">
      <alignment horizontal="right" readingOrder="2"/>
    </xf>
    <xf numFmtId="4" fontId="2" fillId="0" borderId="0" xfId="0" applyNumberFormat="1" applyFont="1" applyAlignment="1">
      <alignment horizontal="right" readingOrder="2"/>
    </xf>
    <xf numFmtId="4" fontId="3" fillId="0" borderId="0" xfId="0" applyNumberFormat="1" applyFont="1" applyAlignment="1">
      <alignment horizontal="right" readingOrder="2"/>
    </xf>
    <xf numFmtId="0" fontId="2" fillId="4" borderId="0" xfId="0" applyFont="1" applyFill="1" applyAlignment="1">
      <alignment wrapText="1" readingOrder="2"/>
    </xf>
    <xf numFmtId="0" fontId="2" fillId="0" borderId="0" xfId="0" applyFont="1" applyAlignment="1">
      <alignment wrapText="1" readingOrder="2"/>
    </xf>
    <xf numFmtId="0" fontId="2" fillId="0" borderId="0" xfId="0" applyFont="1" applyAlignment="1">
      <alignment horizontal="center" readingOrder="2"/>
    </xf>
    <xf numFmtId="0" fontId="4" fillId="0" borderId="0" xfId="0" applyFont="1" applyAlignment="1">
      <alignment readingOrder="2"/>
    </xf>
    <xf numFmtId="0" fontId="3" fillId="5" borderId="1" xfId="0" applyFont="1" applyFill="1" applyBorder="1" applyAlignment="1">
      <alignment horizontal="center" readingOrder="2"/>
    </xf>
    <xf numFmtId="165" fontId="2" fillId="0" borderId="0" xfId="0" applyNumberFormat="1" applyFont="1" applyAlignment="1">
      <alignment horizontal="center" readingOrder="2"/>
    </xf>
    <xf numFmtId="1" fontId="0" fillId="0" borderId="0" xfId="0" applyNumberFormat="1" applyAlignment="1">
      <alignment horizontal="center" readingOrder="2"/>
    </xf>
    <xf numFmtId="0" fontId="4" fillId="5" borderId="0" xfId="0" applyFont="1" applyFill="1" applyAlignment="1">
      <alignment readingOrder="2"/>
    </xf>
    <xf numFmtId="0" fontId="3" fillId="5" borderId="0" xfId="0" applyFont="1" applyFill="1" applyAlignment="1">
      <alignment readingOrder="2"/>
    </xf>
    <xf numFmtId="0" fontId="3" fillId="0" borderId="1" xfId="0" applyFont="1" applyBorder="1" applyAlignment="1">
      <alignment horizontal="center" readingOrder="2"/>
    </xf>
    <xf numFmtId="10" fontId="3" fillId="0" borderId="1" xfId="0" applyNumberFormat="1" applyFont="1" applyBorder="1" applyAlignment="1">
      <alignment horizontal="center" readingOrder="2"/>
    </xf>
    <xf numFmtId="3" fontId="2" fillId="0" borderId="0" xfId="0" applyNumberFormat="1" applyFont="1" applyAlignment="1">
      <alignment horizontal="right" readingOrder="2"/>
    </xf>
    <xf numFmtId="0" fontId="3" fillId="4" borderId="0" xfId="0" applyFont="1" applyFill="1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rightToLeft="1" tabSelected="1" topLeftCell="C1" workbookViewId="0">
      <selection activeCell="I1" sqref="I1"/>
    </sheetView>
  </sheetViews>
  <sheetFormatPr defaultRowHeight="14.5" x14ac:dyDescent="0.35"/>
  <cols>
    <col min="1" max="2" width="16" customWidth="1"/>
    <col min="3" max="3" width="18" customWidth="1"/>
    <col min="4" max="4" width="22" customWidth="1"/>
    <col min="5" max="5" width="18" customWidth="1"/>
    <col min="6" max="6" width="14" customWidth="1"/>
    <col min="7" max="7" width="20" customWidth="1"/>
    <col min="8" max="8" width="18" customWidth="1"/>
    <col min="9" max="10" width="14" customWidth="1"/>
    <col min="11" max="11" width="20" customWidth="1"/>
    <col min="12" max="12" width="14" customWidth="1"/>
  </cols>
  <sheetData>
    <row r="1" spans="1:12" ht="18" x14ac:dyDescent="0.4">
      <c r="A1" s="1" t="s">
        <v>0</v>
      </c>
      <c r="F1" s="2" t="s">
        <v>1</v>
      </c>
      <c r="I1" s="3" t="s">
        <v>2</v>
      </c>
      <c r="J1" s="3" t="s">
        <v>3</v>
      </c>
      <c r="K1" s="3" t="s">
        <v>4</v>
      </c>
    </row>
    <row r="2" spans="1:12" x14ac:dyDescent="0.35">
      <c r="A2" s="2" t="s">
        <v>5</v>
      </c>
      <c r="F2" s="2" t="s">
        <v>6</v>
      </c>
      <c r="H2" s="4" t="s">
        <v>7</v>
      </c>
      <c r="I2" s="5">
        <v>4.4999999999999998E-2</v>
      </c>
      <c r="J2" s="5">
        <v>4.2500000000000003E-2</v>
      </c>
      <c r="K2" s="6"/>
    </row>
    <row r="3" spans="1:12" x14ac:dyDescent="0.35">
      <c r="A3" s="2" t="s">
        <v>8</v>
      </c>
      <c r="F3" s="2" t="s">
        <v>9</v>
      </c>
      <c r="H3" s="4" t="s">
        <v>10</v>
      </c>
      <c r="I3" s="7">
        <v>3.5000000000000001E-3</v>
      </c>
    </row>
    <row r="4" spans="1:12" x14ac:dyDescent="0.35">
      <c r="A4" s="2" t="s">
        <v>11</v>
      </c>
      <c r="F4" s="2" t="s">
        <v>12</v>
      </c>
      <c r="H4" s="4" t="s">
        <v>13</v>
      </c>
      <c r="I4" s="7">
        <v>-6.0000000000000001E-3</v>
      </c>
    </row>
    <row r="5" spans="1:12" x14ac:dyDescent="0.35">
      <c r="A5" s="2" t="s">
        <v>14</v>
      </c>
    </row>
    <row r="7" spans="1:12" ht="93" x14ac:dyDescent="0.35">
      <c r="A7" s="8" t="s">
        <v>15</v>
      </c>
    </row>
    <row r="8" spans="1:12" x14ac:dyDescent="0.35">
      <c r="K8" s="2" t="s">
        <v>16</v>
      </c>
    </row>
    <row r="9" spans="1:12" x14ac:dyDescent="0.35">
      <c r="A9" s="9" t="s">
        <v>17</v>
      </c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10" t="s">
        <v>23</v>
      </c>
      <c r="H9" s="9" t="s">
        <v>24</v>
      </c>
      <c r="I9" s="11">
        <f>$I$2+$I$3</f>
        <v>4.8500000000000001E-2</v>
      </c>
      <c r="J9" s="11">
        <f>$J$2+$I$3</f>
        <v>4.6000000000000006E-2</v>
      </c>
      <c r="K9" s="11">
        <f>$I$2+$I$4</f>
        <v>3.9E-2</v>
      </c>
      <c r="L9" s="11">
        <f>$J$2+$I$4</f>
        <v>3.6500000000000005E-2</v>
      </c>
    </row>
    <row r="10" spans="1:12" x14ac:dyDescent="0.35">
      <c r="A10" s="12" t="s">
        <v>25</v>
      </c>
      <c r="B10" s="12" t="s">
        <v>26</v>
      </c>
      <c r="C10" s="13" t="s">
        <v>27</v>
      </c>
      <c r="D10" s="14"/>
      <c r="E10" s="14"/>
      <c r="F10" s="14"/>
      <c r="G10" s="14"/>
      <c r="H10" s="14"/>
    </row>
    <row r="11" spans="1:12" x14ac:dyDescent="0.35">
      <c r="A11" s="13" t="s">
        <v>28</v>
      </c>
      <c r="B11" s="14"/>
      <c r="C11" s="14"/>
      <c r="D11" s="14"/>
      <c r="E11" s="15">
        <v>80000000</v>
      </c>
      <c r="F11" s="16">
        <v>4.8499999999999988E-2</v>
      </c>
      <c r="G11" s="17">
        <v>0</v>
      </c>
      <c r="H11" s="18">
        <v>0</v>
      </c>
      <c r="I11" s="19">
        <f>(F11-$I$9)/365*G11</f>
        <v>0</v>
      </c>
    </row>
    <row r="12" spans="1:12" x14ac:dyDescent="0.35">
      <c r="A12" s="13" t="s">
        <v>29</v>
      </c>
      <c r="B12" s="14"/>
      <c r="C12" s="14"/>
      <c r="D12" s="14"/>
      <c r="F12" s="16">
        <v>4.8499999999999988E-2</v>
      </c>
      <c r="G12" s="17">
        <v>0</v>
      </c>
      <c r="H12" s="18">
        <v>0</v>
      </c>
      <c r="I12" s="19">
        <f>(F12-$I$9)/365*G12</f>
        <v>0</v>
      </c>
    </row>
    <row r="13" spans="1:12" x14ac:dyDescent="0.35">
      <c r="A13" s="12" t="s">
        <v>30</v>
      </c>
      <c r="B13" s="12" t="s">
        <v>31</v>
      </c>
      <c r="C13" s="13" t="s">
        <v>27</v>
      </c>
      <c r="D13" s="14"/>
      <c r="E13" s="14"/>
      <c r="F13" s="14"/>
      <c r="G13" s="14"/>
      <c r="H13" s="14"/>
    </row>
    <row r="14" spans="1:12" x14ac:dyDescent="0.35">
      <c r="A14" s="13" t="s">
        <v>28</v>
      </c>
      <c r="B14" s="14"/>
      <c r="C14" s="14"/>
      <c r="D14" s="14"/>
      <c r="E14" s="15">
        <v>80000000</v>
      </c>
      <c r="F14" s="16">
        <v>4.8499999999999988E-2</v>
      </c>
      <c r="G14" s="17">
        <v>0</v>
      </c>
      <c r="H14" s="18">
        <v>0</v>
      </c>
      <c r="I14" s="19">
        <f>(F14-$I$9)/365*G14</f>
        <v>0</v>
      </c>
    </row>
    <row r="15" spans="1:12" x14ac:dyDescent="0.35">
      <c r="A15" s="13" t="s">
        <v>29</v>
      </c>
      <c r="B15" s="14"/>
      <c r="C15" s="14"/>
      <c r="D15" s="14"/>
      <c r="F15" s="16">
        <v>4.8499999999999988E-2</v>
      </c>
      <c r="G15" s="17">
        <v>0</v>
      </c>
      <c r="H15" s="18">
        <v>0</v>
      </c>
      <c r="I15" s="19">
        <f>(F15-$I$9)/365*G15</f>
        <v>0</v>
      </c>
    </row>
    <row r="16" spans="1:12" x14ac:dyDescent="0.35">
      <c r="A16" s="12" t="s">
        <v>32</v>
      </c>
      <c r="B16" s="12" t="s">
        <v>33</v>
      </c>
      <c r="C16" s="13" t="s">
        <v>27</v>
      </c>
      <c r="D16" s="14"/>
      <c r="E16" s="14"/>
      <c r="F16" s="14"/>
      <c r="G16" s="14"/>
      <c r="H16" s="14"/>
    </row>
    <row r="17" spans="1:10" x14ac:dyDescent="0.35">
      <c r="A17" s="13" t="s">
        <v>28</v>
      </c>
      <c r="B17" s="14"/>
      <c r="C17" s="14"/>
      <c r="D17" s="14"/>
      <c r="E17" s="15">
        <v>80000000</v>
      </c>
      <c r="F17" s="16">
        <v>4.5999999999999999E-2</v>
      </c>
      <c r="G17" s="17">
        <v>0</v>
      </c>
      <c r="H17" s="18">
        <v>0</v>
      </c>
      <c r="I17" s="19">
        <f>(F17-$I$9)/365*G17</f>
        <v>0</v>
      </c>
      <c r="J17" s="19">
        <f>(F17-$J$9)/365*G17</f>
        <v>0</v>
      </c>
    </row>
    <row r="18" spans="1:10" x14ac:dyDescent="0.35">
      <c r="A18" s="13" t="s">
        <v>29</v>
      </c>
      <c r="B18" s="14"/>
      <c r="C18" s="14"/>
      <c r="D18" s="14"/>
      <c r="F18" s="16">
        <v>4.5999999999999999E-2</v>
      </c>
      <c r="G18" s="17">
        <v>0</v>
      </c>
      <c r="H18" s="18">
        <v>0</v>
      </c>
      <c r="I18" s="19">
        <f>(F18-$I$9)/365*G18</f>
        <v>0</v>
      </c>
      <c r="J18" s="19">
        <f>(F18-$J$9)/365*G18</f>
        <v>0</v>
      </c>
    </row>
    <row r="19" spans="1:10" x14ac:dyDescent="0.35">
      <c r="A19" s="12" t="s">
        <v>34</v>
      </c>
      <c r="B19" s="12" t="s">
        <v>35</v>
      </c>
      <c r="C19" s="13" t="s">
        <v>27</v>
      </c>
      <c r="D19" s="14"/>
      <c r="E19" s="14"/>
      <c r="F19" s="14"/>
      <c r="G19" s="14"/>
      <c r="H19" s="14"/>
    </row>
    <row r="20" spans="1:10" x14ac:dyDescent="0.35">
      <c r="A20" s="13" t="s">
        <v>28</v>
      </c>
      <c r="B20" s="14"/>
      <c r="C20" s="14"/>
      <c r="D20" s="14"/>
      <c r="E20" s="15">
        <v>80000000</v>
      </c>
      <c r="F20" s="16">
        <v>4.5999999999999999E-2</v>
      </c>
      <c r="G20" s="17">
        <v>80000000</v>
      </c>
      <c r="H20" s="18">
        <v>10082.19</v>
      </c>
      <c r="I20" s="19">
        <f>(F20-$I$9)/365*G20</f>
        <v>-547.94520547945251</v>
      </c>
      <c r="J20" s="19">
        <f>(F20-$J$9)/365*G20</f>
        <v>-1.5208534583906254E-12</v>
      </c>
    </row>
    <row r="21" spans="1:10" x14ac:dyDescent="0.35">
      <c r="A21" s="13" t="s">
        <v>29</v>
      </c>
      <c r="B21" s="14"/>
      <c r="C21" s="14"/>
      <c r="D21" s="14"/>
      <c r="F21" s="16">
        <v>4.5999999999999999E-2</v>
      </c>
      <c r="G21" s="17">
        <v>119681253.83</v>
      </c>
      <c r="H21" s="18">
        <v>15083.12</v>
      </c>
      <c r="I21" s="19">
        <f>(F21-$I$9)/365*G21</f>
        <v>-819.7346152739733</v>
      </c>
      <c r="J21" s="19">
        <f>(F21-$J$9)/365*G21</f>
        <v>-2.2752206098985222E-12</v>
      </c>
    </row>
    <row r="22" spans="1:10" x14ac:dyDescent="0.35">
      <c r="H22" s="4" t="s">
        <v>36</v>
      </c>
      <c r="I22" s="20">
        <f>SUM(I11:I21)</f>
        <v>-1367.6798207534257</v>
      </c>
    </row>
    <row r="23" spans="1:10" x14ac:dyDescent="0.35">
      <c r="A23" s="4" t="s">
        <v>37</v>
      </c>
      <c r="F23" s="2" t="s">
        <v>28</v>
      </c>
      <c r="G23" s="21">
        <v>10082.19</v>
      </c>
    </row>
    <row r="24" spans="1:10" x14ac:dyDescent="0.35">
      <c r="F24" s="2" t="s">
        <v>29</v>
      </c>
      <c r="G24" s="21">
        <v>15083.12</v>
      </c>
    </row>
    <row r="25" spans="1:10" x14ac:dyDescent="0.35">
      <c r="G25" s="22">
        <f>SUM(G23:G24)</f>
        <v>25165.31</v>
      </c>
    </row>
    <row r="26" spans="1:10" x14ac:dyDescent="0.35">
      <c r="A26" s="4" t="s">
        <v>38</v>
      </c>
    </row>
    <row r="28" spans="1:10" x14ac:dyDescent="0.35">
      <c r="A28" s="4" t="s">
        <v>39</v>
      </c>
    </row>
    <row r="29" spans="1:10" ht="70.5" x14ac:dyDescent="0.35">
      <c r="A29" s="23" t="s">
        <v>40</v>
      </c>
    </row>
    <row r="30" spans="1:10" ht="56.5" x14ac:dyDescent="0.35">
      <c r="A30" s="2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rightToLeft="1" workbookViewId="0">
      <selection activeCell="C23" sqref="C23"/>
    </sheetView>
  </sheetViews>
  <sheetFormatPr defaultRowHeight="14.5" x14ac:dyDescent="0.35"/>
  <cols>
    <col min="1" max="1" width="14" customWidth="1"/>
    <col min="2" max="2" width="12" customWidth="1"/>
    <col min="3" max="3" width="22" customWidth="1"/>
    <col min="4" max="4" width="18" customWidth="1"/>
    <col min="5" max="5" width="14" customWidth="1"/>
    <col min="6" max="6" width="8" customWidth="1"/>
    <col min="7" max="9" width="18" customWidth="1"/>
    <col min="10" max="10" width="10" customWidth="1"/>
    <col min="11" max="11" width="14" customWidth="1"/>
    <col min="12" max="12" width="22" customWidth="1"/>
    <col min="13" max="14" width="12" customWidth="1"/>
    <col min="15" max="15" width="18" customWidth="1"/>
  </cols>
  <sheetData>
    <row r="1" spans="1:15" x14ac:dyDescent="0.35">
      <c r="M1" s="3" t="s">
        <v>2</v>
      </c>
      <c r="N1" s="3" t="s">
        <v>3</v>
      </c>
      <c r="O1" s="3" t="s">
        <v>4</v>
      </c>
    </row>
    <row r="2" spans="1:15" x14ac:dyDescent="0.35">
      <c r="L2" s="4" t="s">
        <v>7</v>
      </c>
      <c r="M2" s="5">
        <v>4.4999999999999998E-2</v>
      </c>
      <c r="N2" s="5">
        <v>4.2500000000000003E-2</v>
      </c>
      <c r="O2" s="25" t="s">
        <v>42</v>
      </c>
    </row>
    <row r="3" spans="1:15" ht="15.5" x14ac:dyDescent="0.35">
      <c r="A3" s="26" t="s">
        <v>43</v>
      </c>
      <c r="L3" s="4" t="s">
        <v>10</v>
      </c>
      <c r="M3" s="7">
        <v>3.5000000000000001E-3</v>
      </c>
    </row>
    <row r="4" spans="1:15" x14ac:dyDescent="0.35">
      <c r="A4" s="4" t="s">
        <v>44</v>
      </c>
      <c r="L4" s="4" t="s">
        <v>13</v>
      </c>
      <c r="M4" s="7">
        <v>-6.0000000000000001E-3</v>
      </c>
    </row>
    <row r="5" spans="1:15" x14ac:dyDescent="0.35">
      <c r="A5" s="27" t="s">
        <v>45</v>
      </c>
      <c r="B5" s="27" t="s">
        <v>46</v>
      </c>
      <c r="C5" s="27" t="s">
        <v>47</v>
      </c>
      <c r="D5" s="27" t="s">
        <v>48</v>
      </c>
      <c r="E5" s="27" t="s">
        <v>49</v>
      </c>
      <c r="F5" s="27" t="s">
        <v>50</v>
      </c>
      <c r="G5" s="27" t="s">
        <v>51</v>
      </c>
      <c r="H5" s="27" t="s">
        <v>52</v>
      </c>
      <c r="I5" s="27" t="s">
        <v>53</v>
      </c>
      <c r="J5" s="27" t="s">
        <v>54</v>
      </c>
    </row>
    <row r="6" spans="1:15" x14ac:dyDescent="0.35">
      <c r="A6" s="28">
        <v>46026</v>
      </c>
      <c r="B6" s="25" t="s">
        <v>55</v>
      </c>
      <c r="C6" s="2" t="s">
        <v>56</v>
      </c>
      <c r="D6" s="2"/>
      <c r="E6" s="25" t="s">
        <v>57</v>
      </c>
      <c r="F6" s="25" t="s">
        <v>58</v>
      </c>
      <c r="G6" s="21">
        <v>245208.93</v>
      </c>
      <c r="I6" s="21">
        <v>-245208.93</v>
      </c>
      <c r="J6" s="29">
        <f t="shared" ref="J6:J35" si="0">A6-A7</f>
        <v>4</v>
      </c>
    </row>
    <row r="7" spans="1:15" x14ac:dyDescent="0.35">
      <c r="A7" s="28">
        <v>46022</v>
      </c>
      <c r="B7" s="25" t="s">
        <v>59</v>
      </c>
      <c r="C7" s="2" t="s">
        <v>60</v>
      </c>
      <c r="D7" s="2"/>
      <c r="E7" s="25" t="s">
        <v>61</v>
      </c>
      <c r="F7" s="25" t="s">
        <v>62</v>
      </c>
      <c r="G7" s="21">
        <v>2146408.29</v>
      </c>
      <c r="J7" s="29">
        <f t="shared" si="0"/>
        <v>0</v>
      </c>
    </row>
    <row r="8" spans="1:15" x14ac:dyDescent="0.35">
      <c r="A8" s="28">
        <v>46022</v>
      </c>
      <c r="B8" s="25" t="s">
        <v>63</v>
      </c>
      <c r="C8" s="2" t="s">
        <v>64</v>
      </c>
      <c r="D8" s="2"/>
      <c r="E8" s="25" t="s">
        <v>65</v>
      </c>
      <c r="F8" s="25" t="s">
        <v>66</v>
      </c>
      <c r="G8" s="21">
        <v>55627.75</v>
      </c>
      <c r="I8" s="21">
        <v>2146408.29</v>
      </c>
      <c r="J8" s="29">
        <f t="shared" si="0"/>
        <v>0</v>
      </c>
    </row>
    <row r="9" spans="1:15" x14ac:dyDescent="0.35">
      <c r="A9" s="28">
        <v>46022</v>
      </c>
      <c r="B9" s="25" t="s">
        <v>67</v>
      </c>
      <c r="C9" s="2" t="s">
        <v>64</v>
      </c>
      <c r="D9" s="2"/>
      <c r="E9" s="25" t="s">
        <v>68</v>
      </c>
      <c r="F9" s="25" t="s">
        <v>66</v>
      </c>
      <c r="H9" s="21">
        <v>1654254.76</v>
      </c>
      <c r="I9" s="21">
        <v>2202036.04</v>
      </c>
      <c r="J9" s="29">
        <f t="shared" si="0"/>
        <v>0</v>
      </c>
    </row>
    <row r="10" spans="1:15" x14ac:dyDescent="0.35">
      <c r="A10" s="28">
        <v>46022</v>
      </c>
      <c r="B10" s="25" t="s">
        <v>67</v>
      </c>
      <c r="C10" s="2" t="s">
        <v>64</v>
      </c>
      <c r="D10" s="2"/>
      <c r="E10" s="25" t="s">
        <v>69</v>
      </c>
      <c r="F10" s="25" t="s">
        <v>66</v>
      </c>
      <c r="H10" s="21">
        <v>547781.28</v>
      </c>
      <c r="I10" s="21">
        <v>547781.28</v>
      </c>
      <c r="J10" s="29">
        <f t="shared" si="0"/>
        <v>1</v>
      </c>
    </row>
    <row r="11" spans="1:15" x14ac:dyDescent="0.35">
      <c r="A11" s="28">
        <v>46021</v>
      </c>
      <c r="B11" s="25" t="s">
        <v>63</v>
      </c>
      <c r="C11" s="2" t="s">
        <v>64</v>
      </c>
      <c r="D11" s="2"/>
      <c r="E11" s="25" t="s">
        <v>70</v>
      </c>
      <c r="F11" s="25" t="s">
        <v>66</v>
      </c>
      <c r="G11" s="21">
        <v>464423.26</v>
      </c>
      <c r="J11" s="29">
        <f t="shared" si="0"/>
        <v>0</v>
      </c>
    </row>
    <row r="12" spans="1:15" x14ac:dyDescent="0.35">
      <c r="A12" s="28">
        <v>46021</v>
      </c>
      <c r="B12" s="25" t="s">
        <v>63</v>
      </c>
      <c r="C12" s="2" t="s">
        <v>64</v>
      </c>
      <c r="D12" s="2"/>
      <c r="E12" s="25" t="s">
        <v>71</v>
      </c>
      <c r="F12" s="25" t="s">
        <v>66</v>
      </c>
      <c r="G12" s="21">
        <v>1658654.51</v>
      </c>
      <c r="I12" s="21">
        <v>464423.26</v>
      </c>
      <c r="J12" s="29">
        <f t="shared" si="0"/>
        <v>0</v>
      </c>
    </row>
    <row r="13" spans="1:15" x14ac:dyDescent="0.35">
      <c r="A13" s="28">
        <v>46021</v>
      </c>
      <c r="B13" s="25" t="s">
        <v>59</v>
      </c>
      <c r="C13" s="2" t="s">
        <v>60</v>
      </c>
      <c r="D13" s="2"/>
      <c r="E13" s="25" t="s">
        <v>61</v>
      </c>
      <c r="F13" s="25" t="s">
        <v>62</v>
      </c>
      <c r="G13" s="21">
        <v>-2123077.77</v>
      </c>
      <c r="I13" s="21">
        <v>2123077.77</v>
      </c>
      <c r="J13" s="29">
        <f t="shared" si="0"/>
        <v>40</v>
      </c>
    </row>
    <row r="14" spans="1:15" x14ac:dyDescent="0.35">
      <c r="A14" s="28">
        <v>45981</v>
      </c>
      <c r="B14" s="25" t="s">
        <v>59</v>
      </c>
      <c r="C14" s="2" t="s">
        <v>60</v>
      </c>
      <c r="D14" s="2"/>
      <c r="E14" s="25" t="s">
        <v>61</v>
      </c>
      <c r="F14" s="25" t="s">
        <v>62</v>
      </c>
      <c r="G14" s="21">
        <v>-987784.48</v>
      </c>
      <c r="J14" s="29">
        <f t="shared" si="0"/>
        <v>8</v>
      </c>
    </row>
    <row r="15" spans="1:15" x14ac:dyDescent="0.35">
      <c r="A15" s="28">
        <v>45973</v>
      </c>
      <c r="B15" s="25" t="s">
        <v>67</v>
      </c>
      <c r="C15" s="2" t="s">
        <v>72</v>
      </c>
      <c r="D15" s="2"/>
      <c r="E15" s="25" t="s">
        <v>73</v>
      </c>
      <c r="F15" s="25" t="s">
        <v>74</v>
      </c>
      <c r="H15" s="21">
        <v>159389620.24000001</v>
      </c>
      <c r="I15" s="21">
        <v>-987784.48</v>
      </c>
      <c r="J15" s="29">
        <f t="shared" si="0"/>
        <v>5</v>
      </c>
    </row>
    <row r="16" spans="1:15" x14ac:dyDescent="0.35">
      <c r="A16" s="28">
        <v>45968</v>
      </c>
      <c r="B16" s="25" t="s">
        <v>67</v>
      </c>
      <c r="C16" s="2" t="s">
        <v>75</v>
      </c>
      <c r="D16" s="2"/>
      <c r="E16" s="25" t="s">
        <v>76</v>
      </c>
      <c r="F16" s="25" t="s">
        <v>77</v>
      </c>
      <c r="H16" s="21">
        <v>86033735.280000001</v>
      </c>
      <c r="I16" s="21">
        <v>-160377404.72</v>
      </c>
      <c r="J16" s="29">
        <f t="shared" si="0"/>
        <v>1</v>
      </c>
    </row>
    <row r="17" spans="1:10" x14ac:dyDescent="0.35">
      <c r="A17" s="28">
        <v>45967</v>
      </c>
      <c r="B17" s="25" t="s">
        <v>63</v>
      </c>
      <c r="C17" s="2" t="s">
        <v>78</v>
      </c>
      <c r="D17" s="2"/>
      <c r="E17" s="25" t="s">
        <v>79</v>
      </c>
      <c r="F17" s="25" t="s">
        <v>80</v>
      </c>
      <c r="G17" s="21">
        <v>86034000</v>
      </c>
      <c r="I17" s="21">
        <v>-246411140</v>
      </c>
      <c r="J17" s="29">
        <f t="shared" si="0"/>
        <v>0</v>
      </c>
    </row>
    <row r="18" spans="1:10" x14ac:dyDescent="0.35">
      <c r="A18" s="28">
        <v>45967</v>
      </c>
      <c r="B18" s="25" t="s">
        <v>63</v>
      </c>
      <c r="C18" s="2" t="s">
        <v>75</v>
      </c>
      <c r="D18" s="2"/>
      <c r="E18" s="25" t="s">
        <v>81</v>
      </c>
      <c r="F18" s="25" t="s">
        <v>77</v>
      </c>
      <c r="G18" s="21">
        <v>160377140</v>
      </c>
      <c r="I18" s="21">
        <v>-160377140</v>
      </c>
      <c r="J18" s="29">
        <f t="shared" si="0"/>
        <v>1</v>
      </c>
    </row>
    <row r="19" spans="1:10" x14ac:dyDescent="0.35">
      <c r="A19" s="28">
        <v>45966</v>
      </c>
      <c r="B19" s="25" t="s">
        <v>59</v>
      </c>
      <c r="C19" s="2" t="s">
        <v>60</v>
      </c>
      <c r="D19" s="2"/>
      <c r="E19" s="25" t="s">
        <v>61</v>
      </c>
      <c r="F19" s="25" t="s">
        <v>62</v>
      </c>
      <c r="G19" s="21">
        <v>996837.6</v>
      </c>
      <c r="J19" s="29">
        <f t="shared" si="0"/>
        <v>0</v>
      </c>
    </row>
    <row r="20" spans="1:10" x14ac:dyDescent="0.35">
      <c r="A20" s="28">
        <v>45966</v>
      </c>
      <c r="B20" s="25" t="s">
        <v>63</v>
      </c>
      <c r="C20" s="2" t="s">
        <v>75</v>
      </c>
      <c r="D20" s="2"/>
      <c r="E20" s="25" t="s">
        <v>82</v>
      </c>
      <c r="F20" s="25" t="s">
        <v>77</v>
      </c>
      <c r="G20" s="21">
        <v>159380793</v>
      </c>
      <c r="I20" s="21">
        <v>996837.6</v>
      </c>
      <c r="J20" s="29">
        <f t="shared" si="0"/>
        <v>0</v>
      </c>
    </row>
    <row r="21" spans="1:10" x14ac:dyDescent="0.35">
      <c r="A21" s="28">
        <v>45966</v>
      </c>
      <c r="B21" s="25" t="s">
        <v>67</v>
      </c>
      <c r="C21" s="2" t="s">
        <v>83</v>
      </c>
      <c r="D21" s="2"/>
      <c r="E21" s="25" t="s">
        <v>84</v>
      </c>
      <c r="F21" s="25" t="s">
        <v>85</v>
      </c>
      <c r="H21" s="21">
        <v>160377630.59999999</v>
      </c>
      <c r="I21" s="21">
        <v>160377630.59999999</v>
      </c>
      <c r="J21" s="29">
        <f t="shared" si="0"/>
        <v>1</v>
      </c>
    </row>
    <row r="22" spans="1:10" x14ac:dyDescent="0.35">
      <c r="A22" s="28">
        <v>45965</v>
      </c>
      <c r="B22" s="25" t="s">
        <v>59</v>
      </c>
      <c r="C22" s="2" t="s">
        <v>60</v>
      </c>
      <c r="D22" s="2"/>
      <c r="E22" s="25" t="s">
        <v>61</v>
      </c>
      <c r="F22" s="25" t="s">
        <v>62</v>
      </c>
      <c r="G22" s="21">
        <v>8827.25</v>
      </c>
      <c r="J22" s="29">
        <f t="shared" si="0"/>
        <v>0</v>
      </c>
    </row>
    <row r="23" spans="1:10" x14ac:dyDescent="0.35">
      <c r="A23" s="28">
        <v>45965</v>
      </c>
      <c r="B23" s="25" t="s">
        <v>67</v>
      </c>
      <c r="C23" s="2" t="s">
        <v>75</v>
      </c>
      <c r="D23" s="2"/>
      <c r="E23" s="25" t="s">
        <v>86</v>
      </c>
      <c r="F23" s="25" t="s">
        <v>77</v>
      </c>
      <c r="H23" s="21">
        <v>159389620.41</v>
      </c>
      <c r="I23" s="21">
        <v>8827.25</v>
      </c>
      <c r="J23" s="29">
        <f t="shared" si="0"/>
        <v>4</v>
      </c>
    </row>
    <row r="24" spans="1:10" x14ac:dyDescent="0.35">
      <c r="A24" s="28">
        <v>45961</v>
      </c>
      <c r="B24" s="25" t="s">
        <v>63</v>
      </c>
      <c r="C24" s="2" t="s">
        <v>78</v>
      </c>
      <c r="D24" s="2"/>
      <c r="E24" s="25" t="s">
        <v>87</v>
      </c>
      <c r="F24" s="25" t="s">
        <v>80</v>
      </c>
      <c r="G24" s="21">
        <v>159380793.16</v>
      </c>
      <c r="I24" s="21">
        <v>-159380793.16</v>
      </c>
      <c r="J24" s="29">
        <f t="shared" si="0"/>
        <v>9</v>
      </c>
    </row>
    <row r="25" spans="1:10" x14ac:dyDescent="0.35">
      <c r="A25" s="28">
        <v>45952</v>
      </c>
      <c r="B25" s="25" t="s">
        <v>59</v>
      </c>
      <c r="C25" s="2" t="s">
        <v>60</v>
      </c>
      <c r="D25" s="2"/>
      <c r="E25" s="25" t="s">
        <v>61</v>
      </c>
      <c r="F25" s="25" t="s">
        <v>62</v>
      </c>
      <c r="G25" s="21">
        <v>-2288234.4</v>
      </c>
      <c r="J25" s="29">
        <f t="shared" si="0"/>
        <v>1</v>
      </c>
    </row>
    <row r="26" spans="1:10" x14ac:dyDescent="0.35">
      <c r="A26" s="28">
        <v>45951</v>
      </c>
      <c r="B26" s="25" t="s">
        <v>67</v>
      </c>
      <c r="C26" s="2" t="s">
        <v>75</v>
      </c>
      <c r="D26" s="2"/>
      <c r="E26" s="25" t="s">
        <v>88</v>
      </c>
      <c r="F26" s="25" t="s">
        <v>77</v>
      </c>
      <c r="H26" s="21">
        <v>26266620.93</v>
      </c>
      <c r="I26" s="21">
        <v>-2288234.4</v>
      </c>
      <c r="J26" s="29">
        <f t="shared" si="0"/>
        <v>1</v>
      </c>
    </row>
    <row r="27" spans="1:10" x14ac:dyDescent="0.35">
      <c r="A27" s="28">
        <v>45950</v>
      </c>
      <c r="B27" s="25" t="s">
        <v>89</v>
      </c>
      <c r="C27" s="2" t="s">
        <v>90</v>
      </c>
      <c r="D27" s="2"/>
      <c r="E27" s="25" t="s">
        <v>91</v>
      </c>
      <c r="F27" s="25" t="s">
        <v>92</v>
      </c>
      <c r="G27" s="21">
        <v>5</v>
      </c>
      <c r="I27" s="21">
        <v>-28554855.329999998</v>
      </c>
      <c r="J27" s="29">
        <f t="shared" si="0"/>
        <v>0</v>
      </c>
    </row>
    <row r="28" spans="1:10" x14ac:dyDescent="0.35">
      <c r="A28" s="28">
        <v>45950</v>
      </c>
      <c r="B28" s="25" t="s">
        <v>63</v>
      </c>
      <c r="C28" s="2" t="s">
        <v>78</v>
      </c>
      <c r="D28" s="2"/>
      <c r="E28" s="25" t="s">
        <v>93</v>
      </c>
      <c r="F28" s="25" t="s">
        <v>80</v>
      </c>
      <c r="G28" s="21">
        <v>26266700.289999999</v>
      </c>
      <c r="I28" s="21">
        <v>-28554850.329999998</v>
      </c>
      <c r="J28" s="29">
        <f t="shared" si="0"/>
        <v>0</v>
      </c>
    </row>
    <row r="29" spans="1:10" x14ac:dyDescent="0.35">
      <c r="A29" s="28">
        <v>45950</v>
      </c>
      <c r="B29" s="25" t="s">
        <v>67</v>
      </c>
      <c r="C29" s="2" t="s">
        <v>75</v>
      </c>
      <c r="D29" s="2"/>
      <c r="E29" s="25" t="s">
        <v>94</v>
      </c>
      <c r="F29" s="25" t="s">
        <v>77</v>
      </c>
      <c r="H29" s="21">
        <v>26369707.170000002</v>
      </c>
      <c r="I29" s="21">
        <v>-2288150.04</v>
      </c>
      <c r="J29" s="29">
        <f t="shared" si="0"/>
        <v>3</v>
      </c>
    </row>
    <row r="30" spans="1:10" x14ac:dyDescent="0.35">
      <c r="A30" s="28">
        <v>45947</v>
      </c>
      <c r="B30" s="25" t="s">
        <v>63</v>
      </c>
      <c r="C30" s="2" t="s">
        <v>78</v>
      </c>
      <c r="D30" s="2"/>
      <c r="E30" s="25" t="s">
        <v>95</v>
      </c>
      <c r="F30" s="25" t="s">
        <v>80</v>
      </c>
      <c r="G30" s="21">
        <v>26369865.879999999</v>
      </c>
      <c r="I30" s="21">
        <v>-28657857.210000001</v>
      </c>
      <c r="J30" s="29">
        <f t="shared" si="0"/>
        <v>7</v>
      </c>
    </row>
    <row r="31" spans="1:10" x14ac:dyDescent="0.35">
      <c r="A31" s="28">
        <v>45940</v>
      </c>
      <c r="B31" s="25" t="s">
        <v>63</v>
      </c>
      <c r="C31" s="2" t="s">
        <v>75</v>
      </c>
      <c r="D31" s="2"/>
      <c r="E31" s="25" t="s">
        <v>96</v>
      </c>
      <c r="F31" s="25" t="s">
        <v>77</v>
      </c>
      <c r="G31" s="21">
        <v>2287991.33</v>
      </c>
      <c r="I31" s="21">
        <v>-2287991.33</v>
      </c>
      <c r="J31" s="29">
        <f t="shared" si="0"/>
        <v>2</v>
      </c>
    </row>
    <row r="32" spans="1:10" x14ac:dyDescent="0.35">
      <c r="A32" s="28">
        <v>45938</v>
      </c>
      <c r="B32" s="25" t="s">
        <v>59</v>
      </c>
      <c r="C32" s="2" t="s">
        <v>60</v>
      </c>
      <c r="D32" s="2"/>
      <c r="E32" s="25" t="s">
        <v>61</v>
      </c>
      <c r="F32" s="25" t="s">
        <v>62</v>
      </c>
      <c r="G32" s="21">
        <v>224436.59</v>
      </c>
      <c r="J32" s="29">
        <f t="shared" si="0"/>
        <v>0</v>
      </c>
    </row>
    <row r="33" spans="1:10" x14ac:dyDescent="0.35">
      <c r="A33" s="28">
        <v>45938</v>
      </c>
      <c r="B33" s="25" t="s">
        <v>63</v>
      </c>
      <c r="C33" s="2" t="s">
        <v>97</v>
      </c>
      <c r="D33" s="2"/>
      <c r="E33" s="25" t="s">
        <v>98</v>
      </c>
      <c r="F33" s="25" t="s">
        <v>99</v>
      </c>
      <c r="G33" s="21">
        <v>2063496.24</v>
      </c>
      <c r="I33" s="21">
        <v>224436.59</v>
      </c>
      <c r="J33" s="29">
        <f t="shared" si="0"/>
        <v>0</v>
      </c>
    </row>
    <row r="34" spans="1:10" x14ac:dyDescent="0.35">
      <c r="A34" s="28">
        <v>45938</v>
      </c>
      <c r="B34" s="25" t="s">
        <v>67</v>
      </c>
      <c r="C34" s="2" t="s">
        <v>83</v>
      </c>
      <c r="D34" s="2"/>
      <c r="E34" s="25" t="s">
        <v>100</v>
      </c>
      <c r="F34" s="25" t="s">
        <v>85</v>
      </c>
      <c r="H34" s="21">
        <v>2287956.5099999998</v>
      </c>
      <c r="I34" s="21">
        <v>2287932.83</v>
      </c>
      <c r="J34" s="29">
        <f t="shared" si="0"/>
        <v>2</v>
      </c>
    </row>
    <row r="35" spans="1:10" x14ac:dyDescent="0.35">
      <c r="A35" s="28">
        <v>45936</v>
      </c>
      <c r="B35" s="25" t="s">
        <v>55</v>
      </c>
      <c r="C35" s="2" t="s">
        <v>101</v>
      </c>
      <c r="D35" s="2"/>
      <c r="E35" s="25" t="s">
        <v>102</v>
      </c>
      <c r="F35" s="25" t="s">
        <v>58</v>
      </c>
      <c r="G35" s="21">
        <v>23.68</v>
      </c>
      <c r="I35" s="21">
        <v>-23.68</v>
      </c>
      <c r="J35" s="29">
        <f t="shared" si="0"/>
        <v>6</v>
      </c>
    </row>
    <row r="36" spans="1:10" x14ac:dyDescent="0.35">
      <c r="A36" s="28">
        <v>45930</v>
      </c>
      <c r="B36" s="25" t="s">
        <v>59</v>
      </c>
      <c r="C36" s="2" t="s">
        <v>60</v>
      </c>
      <c r="D36" s="2"/>
      <c r="E36" s="25" t="s">
        <v>61</v>
      </c>
      <c r="F36" s="25" t="s">
        <v>62</v>
      </c>
      <c r="G36" s="21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rightToLeft="1" zoomScale="77" workbookViewId="0">
      <selection activeCell="I10" sqref="I10"/>
    </sheetView>
  </sheetViews>
  <sheetFormatPr defaultRowHeight="14.5" x14ac:dyDescent="0.35"/>
  <cols>
    <col min="1" max="1" width="14" customWidth="1"/>
    <col min="2" max="2" width="12" customWidth="1"/>
    <col min="3" max="3" width="22" customWidth="1"/>
    <col min="4" max="4" width="18" customWidth="1"/>
    <col min="5" max="5" width="14" customWidth="1"/>
    <col min="6" max="6" width="8" customWidth="1"/>
    <col min="7" max="9" width="18" customWidth="1"/>
    <col min="10" max="10" width="12" customWidth="1"/>
    <col min="11" max="11" width="16" customWidth="1"/>
    <col min="12" max="12" width="22" customWidth="1"/>
    <col min="13" max="13" width="18" customWidth="1"/>
  </cols>
  <sheetData>
    <row r="1" spans="1:13" x14ac:dyDescent="0.35">
      <c r="K1" s="3" t="s">
        <v>2</v>
      </c>
      <c r="L1" s="3" t="s">
        <v>3</v>
      </c>
      <c r="M1" s="3" t="s">
        <v>4</v>
      </c>
    </row>
    <row r="2" spans="1:13" x14ac:dyDescent="0.35">
      <c r="J2" s="4" t="s">
        <v>7</v>
      </c>
      <c r="K2" s="5">
        <v>4.4999999999999998E-2</v>
      </c>
      <c r="L2" s="5">
        <v>4.2500000000000003E-2</v>
      </c>
      <c r="M2" s="25" t="s">
        <v>42</v>
      </c>
    </row>
    <row r="3" spans="1:13" x14ac:dyDescent="0.35">
      <c r="J3" s="4" t="s">
        <v>10</v>
      </c>
      <c r="K3" s="7">
        <v>3.5000000000000001E-3</v>
      </c>
    </row>
    <row r="4" spans="1:13" ht="15.5" x14ac:dyDescent="0.35">
      <c r="A4" s="30" t="s">
        <v>43</v>
      </c>
      <c r="J4" s="4" t="s">
        <v>13</v>
      </c>
      <c r="K4" s="7">
        <v>-6.0000000000000001E-3</v>
      </c>
    </row>
    <row r="5" spans="1:13" x14ac:dyDescent="0.35">
      <c r="A5" s="31" t="s">
        <v>44</v>
      </c>
      <c r="K5" s="3" t="s">
        <v>103</v>
      </c>
      <c r="L5" s="3" t="s">
        <v>104</v>
      </c>
    </row>
    <row r="6" spans="1:13" x14ac:dyDescent="0.35">
      <c r="A6" s="27" t="s">
        <v>45</v>
      </c>
      <c r="B6" s="32" t="s">
        <v>46</v>
      </c>
      <c r="C6" s="32" t="s">
        <v>47</v>
      </c>
      <c r="D6" s="32" t="s">
        <v>48</v>
      </c>
      <c r="E6" s="32" t="s">
        <v>49</v>
      </c>
      <c r="F6" s="32" t="s">
        <v>50</v>
      </c>
      <c r="G6" s="32" t="s">
        <v>51</v>
      </c>
      <c r="H6" s="32" t="s">
        <v>52</v>
      </c>
      <c r="I6" s="32" t="s">
        <v>53</v>
      </c>
      <c r="J6" s="27" t="s">
        <v>105</v>
      </c>
      <c r="K6" s="33">
        <f>$K$2+$K$3</f>
        <v>4.8500000000000001E-2</v>
      </c>
      <c r="L6" s="33">
        <f>$L$2+$K$3</f>
        <v>4.6000000000000006E-2</v>
      </c>
    </row>
    <row r="7" spans="1:13" x14ac:dyDescent="0.35">
      <c r="A7" s="28">
        <v>46022</v>
      </c>
      <c r="B7" s="25" t="s">
        <v>59</v>
      </c>
      <c r="C7" s="2" t="s">
        <v>60</v>
      </c>
      <c r="D7" s="2"/>
      <c r="E7" s="25" t="s">
        <v>61</v>
      </c>
      <c r="F7" s="25" t="s">
        <v>62</v>
      </c>
      <c r="G7" s="21">
        <v>2146408.29</v>
      </c>
      <c r="J7" s="29">
        <f t="shared" ref="J7:J22" si="0">A7-A8</f>
        <v>1</v>
      </c>
      <c r="K7" s="19">
        <f t="shared" ref="K7:K9" si="1">IFERROR(($K$6/365*I7*J7),"")</f>
        <v>0</v>
      </c>
    </row>
    <row r="8" spans="1:13" x14ac:dyDescent="0.35">
      <c r="A8" s="28">
        <v>46021</v>
      </c>
      <c r="B8" s="25" t="s">
        <v>63</v>
      </c>
      <c r="C8" s="2" t="s">
        <v>64</v>
      </c>
      <c r="D8" s="2"/>
      <c r="E8" s="25" t="s">
        <v>70</v>
      </c>
      <c r="F8" s="25" t="s">
        <v>66</v>
      </c>
      <c r="G8" s="21">
        <v>464423.26</v>
      </c>
      <c r="J8" s="29">
        <f t="shared" si="0"/>
        <v>40</v>
      </c>
      <c r="K8" s="19">
        <f t="shared" si="1"/>
        <v>0</v>
      </c>
    </row>
    <row r="9" spans="1:13" x14ac:dyDescent="0.35">
      <c r="A9" s="28">
        <v>45981</v>
      </c>
      <c r="B9" s="25" t="s">
        <v>59</v>
      </c>
      <c r="C9" s="2" t="s">
        <v>60</v>
      </c>
      <c r="D9" s="2"/>
      <c r="E9" s="25" t="s">
        <v>61</v>
      </c>
      <c r="F9" s="25" t="s">
        <v>62</v>
      </c>
      <c r="G9" s="21">
        <v>-987784.48</v>
      </c>
      <c r="J9" s="29">
        <f t="shared" si="0"/>
        <v>8</v>
      </c>
      <c r="K9" s="19">
        <f t="shared" si="1"/>
        <v>0</v>
      </c>
    </row>
    <row r="10" spans="1:13" x14ac:dyDescent="0.35">
      <c r="A10" s="28">
        <v>45973</v>
      </c>
      <c r="B10" s="25" t="s">
        <v>67</v>
      </c>
      <c r="C10" s="2" t="s">
        <v>72</v>
      </c>
      <c r="D10" s="2"/>
      <c r="E10" s="25" t="s">
        <v>73</v>
      </c>
      <c r="F10" s="25" t="s">
        <v>74</v>
      </c>
      <c r="H10" s="21">
        <v>159389620.24000001</v>
      </c>
      <c r="J10" s="29">
        <f t="shared" si="0"/>
        <v>5</v>
      </c>
      <c r="K10" s="19">
        <f t="shared" ref="K10:K23" si="2">IFERROR(($K$6/365*I11*J10),"")</f>
        <v>-656.26777095890418</v>
      </c>
    </row>
    <row r="11" spans="1:13" x14ac:dyDescent="0.35">
      <c r="A11" s="28">
        <v>45968</v>
      </c>
      <c r="B11" s="25" t="s">
        <v>67</v>
      </c>
      <c r="C11" s="2" t="s">
        <v>75</v>
      </c>
      <c r="D11" s="2"/>
      <c r="E11" s="25" t="s">
        <v>76</v>
      </c>
      <c r="F11" s="25" t="s">
        <v>77</v>
      </c>
      <c r="H11" s="21">
        <v>86033735.280000001</v>
      </c>
      <c r="I11" s="21">
        <v>-987784.48</v>
      </c>
      <c r="J11" s="29">
        <f t="shared" si="0"/>
        <v>1</v>
      </c>
      <c r="K11" s="19">
        <f t="shared" si="2"/>
        <v>-21310.4222710137</v>
      </c>
    </row>
    <row r="12" spans="1:13" x14ac:dyDescent="0.35">
      <c r="A12" s="28">
        <v>45967</v>
      </c>
      <c r="B12" s="25" t="s">
        <v>63</v>
      </c>
      <c r="C12" s="2" t="s">
        <v>78</v>
      </c>
      <c r="D12" s="2"/>
      <c r="E12" s="25" t="s">
        <v>79</v>
      </c>
      <c r="F12" s="25" t="s">
        <v>80</v>
      </c>
      <c r="G12" s="21">
        <v>86034000</v>
      </c>
      <c r="I12" s="21">
        <v>-160377404.72</v>
      </c>
      <c r="J12" s="29">
        <f t="shared" si="0"/>
        <v>1</v>
      </c>
      <c r="K12" s="19">
        <f t="shared" si="2"/>
        <v>-32742.302164383564</v>
      </c>
    </row>
    <row r="13" spans="1:13" x14ac:dyDescent="0.35">
      <c r="A13" s="28">
        <v>45966</v>
      </c>
      <c r="B13" s="25" t="s">
        <v>59</v>
      </c>
      <c r="C13" s="2" t="s">
        <v>60</v>
      </c>
      <c r="D13" s="2"/>
      <c r="E13" s="25" t="s">
        <v>61</v>
      </c>
      <c r="F13" s="25" t="s">
        <v>62</v>
      </c>
      <c r="G13" s="21">
        <v>996837.6</v>
      </c>
      <c r="I13" s="21">
        <v>-246411140</v>
      </c>
      <c r="J13" s="29">
        <f t="shared" si="0"/>
        <v>1</v>
      </c>
      <c r="K13" s="19">
        <f t="shared" si="2"/>
        <v>0</v>
      </c>
    </row>
    <row r="14" spans="1:13" x14ac:dyDescent="0.35">
      <c r="A14" s="28">
        <v>45965</v>
      </c>
      <c r="B14" s="25" t="s">
        <v>59</v>
      </c>
      <c r="C14" s="2" t="s">
        <v>60</v>
      </c>
      <c r="D14" s="2"/>
      <c r="E14" s="25" t="s">
        <v>61</v>
      </c>
      <c r="F14" s="25" t="s">
        <v>62</v>
      </c>
      <c r="G14" s="21">
        <v>8827.25</v>
      </c>
      <c r="J14" s="29">
        <f t="shared" si="0"/>
        <v>4</v>
      </c>
      <c r="K14" s="19">
        <f t="shared" si="2"/>
        <v>0</v>
      </c>
    </row>
    <row r="15" spans="1:13" x14ac:dyDescent="0.35">
      <c r="A15" s="28">
        <v>45961</v>
      </c>
      <c r="B15" s="25" t="s">
        <v>63</v>
      </c>
      <c r="C15" s="2" t="s">
        <v>78</v>
      </c>
      <c r="D15" s="2"/>
      <c r="E15" s="25" t="s">
        <v>87</v>
      </c>
      <c r="F15" s="25" t="s">
        <v>80</v>
      </c>
      <c r="G15" s="21">
        <v>159380793.16</v>
      </c>
      <c r="J15" s="29">
        <f t="shared" si="0"/>
        <v>9</v>
      </c>
      <c r="K15" s="19">
        <f t="shared" si="2"/>
        <v>-190601.96223106852</v>
      </c>
    </row>
    <row r="16" spans="1:13" x14ac:dyDescent="0.35">
      <c r="A16" s="28">
        <v>45952</v>
      </c>
      <c r="B16" s="25" t="s">
        <v>59</v>
      </c>
      <c r="C16" s="2" t="s">
        <v>60</v>
      </c>
      <c r="D16" s="2"/>
      <c r="E16" s="25" t="s">
        <v>61</v>
      </c>
      <c r="F16" s="25" t="s">
        <v>62</v>
      </c>
      <c r="G16" s="21">
        <v>-2288234.4</v>
      </c>
      <c r="I16" s="21">
        <v>-159380793.16</v>
      </c>
      <c r="J16" s="29">
        <f t="shared" si="0"/>
        <v>1</v>
      </c>
      <c r="K16" s="19">
        <f t="shared" si="2"/>
        <v>0</v>
      </c>
    </row>
    <row r="17" spans="1:12" x14ac:dyDescent="0.35">
      <c r="A17" s="28">
        <v>45951</v>
      </c>
      <c r="B17" s="25" t="s">
        <v>67</v>
      </c>
      <c r="C17" s="2" t="s">
        <v>75</v>
      </c>
      <c r="D17" s="2"/>
      <c r="E17" s="25" t="s">
        <v>88</v>
      </c>
      <c r="F17" s="25" t="s">
        <v>77</v>
      </c>
      <c r="H17" s="21">
        <v>26266620.93</v>
      </c>
      <c r="J17" s="29">
        <f t="shared" si="0"/>
        <v>1</v>
      </c>
      <c r="K17" s="19">
        <f t="shared" si="2"/>
        <v>-304.05306410958906</v>
      </c>
    </row>
    <row r="18" spans="1:12" x14ac:dyDescent="0.35">
      <c r="A18" s="28">
        <v>45950</v>
      </c>
      <c r="B18" s="25" t="s">
        <v>89</v>
      </c>
      <c r="C18" s="2" t="s">
        <v>90</v>
      </c>
      <c r="D18" s="2"/>
      <c r="E18" s="25" t="s">
        <v>91</v>
      </c>
      <c r="F18" s="25" t="s">
        <v>92</v>
      </c>
      <c r="G18" s="21">
        <v>5</v>
      </c>
      <c r="I18" s="21">
        <v>-2288234.4</v>
      </c>
      <c r="J18" s="29">
        <f t="shared" si="0"/>
        <v>3</v>
      </c>
      <c r="K18" s="19">
        <f t="shared" si="2"/>
        <v>-11382.825891821918</v>
      </c>
    </row>
    <row r="19" spans="1:12" x14ac:dyDescent="0.35">
      <c r="A19" s="28">
        <v>45947</v>
      </c>
      <c r="B19" s="25" t="s">
        <v>63</v>
      </c>
      <c r="C19" s="2" t="s">
        <v>78</v>
      </c>
      <c r="D19" s="2"/>
      <c r="E19" s="25" t="s">
        <v>95</v>
      </c>
      <c r="F19" s="25" t="s">
        <v>80</v>
      </c>
      <c r="G19" s="21">
        <v>26369865.879999999</v>
      </c>
      <c r="I19" s="21">
        <v>-28554855.329999998</v>
      </c>
      <c r="J19" s="29">
        <f t="shared" si="0"/>
        <v>7</v>
      </c>
      <c r="K19" s="19">
        <f t="shared" si="2"/>
        <v>-26655.732939164387</v>
      </c>
    </row>
    <row r="20" spans="1:12" x14ac:dyDescent="0.35">
      <c r="A20" s="28">
        <v>45940</v>
      </c>
      <c r="B20" s="25" t="s">
        <v>63</v>
      </c>
      <c r="C20" s="2" t="s">
        <v>75</v>
      </c>
      <c r="D20" s="2"/>
      <c r="E20" s="25" t="s">
        <v>96</v>
      </c>
      <c r="F20" s="25" t="s">
        <v>77</v>
      </c>
      <c r="G20" s="21">
        <v>2287991.33</v>
      </c>
      <c r="I20" s="21">
        <v>-28657857.210000001</v>
      </c>
      <c r="J20" s="29">
        <f t="shared" si="0"/>
        <v>2</v>
      </c>
      <c r="K20" s="19">
        <f t="shared" si="2"/>
        <v>-608.04153153424659</v>
      </c>
    </row>
    <row r="21" spans="1:12" x14ac:dyDescent="0.35">
      <c r="A21" s="28">
        <v>45938</v>
      </c>
      <c r="B21" s="25" t="s">
        <v>59</v>
      </c>
      <c r="C21" s="2" t="s">
        <v>60</v>
      </c>
      <c r="D21" s="2"/>
      <c r="E21" s="25" t="s">
        <v>61</v>
      </c>
      <c r="F21" s="25" t="s">
        <v>62</v>
      </c>
      <c r="G21" s="21">
        <v>224436.59</v>
      </c>
      <c r="I21" s="21">
        <v>-2287991.33</v>
      </c>
      <c r="J21" s="29">
        <f t="shared" si="0"/>
        <v>2</v>
      </c>
      <c r="K21" s="19">
        <f t="shared" si="2"/>
        <v>0</v>
      </c>
    </row>
    <row r="22" spans="1:12" x14ac:dyDescent="0.35">
      <c r="A22" s="28">
        <v>45936</v>
      </c>
      <c r="B22" s="25" t="s">
        <v>55</v>
      </c>
      <c r="C22" s="2" t="s">
        <v>101</v>
      </c>
      <c r="D22" s="2"/>
      <c r="E22" s="25" t="s">
        <v>102</v>
      </c>
      <c r="F22" s="25" t="s">
        <v>58</v>
      </c>
      <c r="G22" s="21">
        <v>23.68</v>
      </c>
      <c r="J22" s="29">
        <f t="shared" si="0"/>
        <v>6</v>
      </c>
      <c r="K22" s="19">
        <f t="shared" si="2"/>
        <v>-1.8879123287671232E-2</v>
      </c>
    </row>
    <row r="23" spans="1:12" x14ac:dyDescent="0.35">
      <c r="A23" s="28">
        <v>45930</v>
      </c>
      <c r="B23" s="25" t="s">
        <v>59</v>
      </c>
      <c r="C23" s="2" t="s">
        <v>60</v>
      </c>
      <c r="D23" s="2"/>
      <c r="E23" s="25" t="s">
        <v>61</v>
      </c>
      <c r="F23" s="25" t="s">
        <v>62</v>
      </c>
      <c r="G23" s="21">
        <v>230530.78</v>
      </c>
      <c r="I23" s="21">
        <v>-23.68</v>
      </c>
      <c r="K23" s="19">
        <f t="shared" si="2"/>
        <v>0</v>
      </c>
    </row>
    <row r="24" spans="1:12" x14ac:dyDescent="0.35">
      <c r="K24" s="22">
        <f>SUM(K7:K23)</f>
        <v>-284261.62674317806</v>
      </c>
      <c r="L24" s="4" t="s">
        <v>106</v>
      </c>
    </row>
    <row r="25" spans="1:12" x14ac:dyDescent="0.35">
      <c r="K25" s="34">
        <v>-25165.31</v>
      </c>
      <c r="L25" s="2" t="s">
        <v>107</v>
      </c>
    </row>
    <row r="26" spans="1:12" x14ac:dyDescent="0.35">
      <c r="K26" s="20">
        <f>K24-K25</f>
        <v>-259096.31674317806</v>
      </c>
      <c r="L26" s="3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פירוט ריבית חובה לפי PDF</vt:lpstr>
      <vt:lpstr>בנק</vt:lpstr>
      <vt:lpstr>חישוב החזר לפי יתרות בבנק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Lioz BengalBuzaglo</cp:lastModifiedBy>
  <dcterms:created xsi:type="dcterms:W3CDTF">2026-03-10T16:24:29Z</dcterms:created>
  <dcterms:modified xsi:type="dcterms:W3CDTF">2026-03-12T10:07:42Z</dcterms:modified>
</cp:coreProperties>
</file>