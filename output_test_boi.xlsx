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פירוט ריבית חובה לפי PDF" sheetId="1" state="visible" r:id="rId1"/>
    <sheet name="בנק" sheetId="2" state="visible" r:id="rId2"/>
    <sheet name="חישוב החזר לפי יתרות בבנ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"/>
    <numFmt numFmtId="165" formatCode="_ * #,##0.0_"/>
    <numFmt numFmtId="166" formatCode="yyyy-mm-dd h:mm:ss"/>
    <numFmt numFmtId="167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general" vertical="bottom" readingOrder="2"/>
    </xf>
    <xf numFmtId="0" fontId="2" fillId="0" borderId="0" applyAlignment="1" pivotButton="0" quotePrefix="0" xfId="0">
      <alignment horizontal="general" vertical="bottom" readingOrder="2"/>
    </xf>
    <xf numFmtId="0" fontId="3" fillId="0" borderId="0" applyAlignment="1" pivotButton="0" quotePrefix="0" xfId="0">
      <alignment horizontal="center" vertical="bottom" readingOrder="2"/>
    </xf>
    <xf numFmtId="0" fontId="3" fillId="0" borderId="0" applyAlignment="1" pivotButton="0" quotePrefix="0" xfId="0">
      <alignment horizontal="general" vertical="bottom" readingOrder="2"/>
    </xf>
    <xf numFmtId="10" fontId="2" fillId="0" borderId="0" applyAlignment="1" pivotButton="0" quotePrefix="0" xfId="0">
      <alignment horizontal="center" vertical="bottom" readingOrder="2"/>
    </xf>
    <xf numFmtId="2" fontId="2" fillId="0" borderId="0" applyAlignment="1" pivotButton="0" quotePrefix="0" xfId="0">
      <alignment horizontal="center" vertical="bottom" readingOrder="2"/>
    </xf>
    <xf numFmtId="10" fontId="2" fillId="2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wrapText="1" readingOrder="2"/>
    </xf>
    <xf numFmtId="0" fontId="3" fillId="3" borderId="1" applyAlignment="1" pivotButton="0" quotePrefix="0" xfId="0">
      <alignment horizontal="center" vertical="bottom" readingOrder="2"/>
    </xf>
    <xf numFmtId="0" fontId="3" fillId="4" borderId="1" applyAlignment="1" pivotButton="0" quotePrefix="0" xfId="0">
      <alignment horizontal="center" vertical="bottom" readingOrder="2"/>
    </xf>
    <xf numFmtId="10" fontId="3" fillId="0" borderId="0" applyAlignment="1" pivotButton="0" quotePrefix="0" xfId="0">
      <alignment horizontal="center" vertical="bottom" readingOrder="2"/>
    </xf>
    <xf numFmtId="164" fontId="2" fillId="0" borderId="1" applyAlignment="1" pivotButton="0" quotePrefix="0" xfId="0">
      <alignment horizontal="general" vertical="bottom" readingOrder="2"/>
    </xf>
    <xf numFmtId="0" fontId="2" fillId="0" borderId="1" applyAlignment="1" pivotButton="0" quotePrefix="0" xfId="0">
      <alignment horizontal="general" vertical="bottom" readingOrder="2"/>
    </xf>
    <xf numFmtId="0" fontId="0" fillId="0" borderId="1" pivotButton="0" quotePrefix="0" xfId="0"/>
    <xf numFmtId="3" fontId="2" fillId="0" borderId="1" applyAlignment="1" pivotButton="0" quotePrefix="0" xfId="0">
      <alignment horizontal="right" vertical="bottom" readingOrder="2"/>
    </xf>
    <xf numFmtId="10" fontId="2" fillId="0" borderId="1" applyAlignment="1" pivotButton="0" quotePrefix="0" xfId="0">
      <alignment horizontal="center" vertical="bottom" readingOrder="2"/>
    </xf>
    <xf numFmtId="165" fontId="2" fillId="0" borderId="1" applyAlignment="1" pivotButton="0" quotePrefix="0" xfId="0">
      <alignment horizontal="right" vertical="bottom" readingOrder="2"/>
    </xf>
    <xf numFmtId="4" fontId="2" fillId="0" borderId="1" applyAlignment="1" pivotButton="0" quotePrefix="0" xfId="0">
      <alignment horizontal="right" vertical="bottom" readingOrder="2"/>
    </xf>
    <xf numFmtId="4" fontId="0" fillId="0" borderId="0" applyAlignment="1" pivotButton="0" quotePrefix="0" xfId="0">
      <alignment horizontal="right" vertical="bottom" readingOrder="2"/>
    </xf>
    <xf numFmtId="4" fontId="3" fillId="4" borderId="0" applyAlignment="1" pivotButton="0" quotePrefix="0" xfId="0">
      <alignment horizontal="right" vertical="bottom" readingOrder="2"/>
    </xf>
    <xf numFmtId="4" fontId="2" fillId="0" borderId="0" applyAlignment="1" pivotButton="0" quotePrefix="0" xfId="0">
      <alignment horizontal="right" vertical="bottom" readingOrder="2"/>
    </xf>
    <xf numFmtId="4" fontId="3" fillId="0" borderId="0" applyAlignment="1" pivotButton="0" quotePrefix="0" xfId="0">
      <alignment horizontal="right" vertical="bottom" readingOrder="2"/>
    </xf>
    <xf numFmtId="0" fontId="2" fillId="4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readingOrder="2"/>
    </xf>
    <xf numFmtId="0" fontId="3" fillId="5" borderId="1" applyAlignment="1" pivotButton="0" quotePrefix="0" xfId="0">
      <alignment horizontal="center" vertical="bottom" readingOrder="2"/>
    </xf>
    <xf numFmtId="0" fontId="4" fillId="5" borderId="0" applyAlignment="1" pivotButton="0" quotePrefix="0" xfId="0">
      <alignment horizontal="general" vertical="bottom" readingOrder="2"/>
    </xf>
    <xf numFmtId="0" fontId="3" fillId="5" borderId="0" applyAlignment="1" pivotButton="0" quotePrefix="0" xfId="0">
      <alignment horizontal="general" vertical="bottom" readingOrder="2"/>
    </xf>
    <xf numFmtId="0" fontId="3" fillId="0" borderId="1" applyAlignment="1" pivotButton="0" quotePrefix="0" xfId="0">
      <alignment horizontal="center" vertical="bottom" readingOrder="2"/>
    </xf>
    <xf numFmtId="10" fontId="3" fillId="0" borderId="1" applyAlignment="1" pivotButton="0" quotePrefix="0" xfId="0">
      <alignment horizontal="center" vertical="bottom" readingOrder="2"/>
    </xf>
    <xf numFmtId="167" fontId="2" fillId="0" borderId="0" applyAlignment="1" pivotButton="0" quotePrefix="0" xfId="0">
      <alignment horizontal="center" vertical="bottom" readingOrder="2"/>
    </xf>
    <xf numFmtId="3" fontId="0" fillId="0" borderId="0" applyAlignment="1" pivotButton="0" quotePrefix="0" xfId="0">
      <alignment horizontal="right" vertical="bottom" readingOrder="2"/>
    </xf>
    <xf numFmtId="0" fontId="3" fillId="4" borderId="0" applyAlignment="1" pivotButton="0" quotePrefix="0" xfId="0">
      <alignment horizontal="general" vertical="bottom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8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בנק הפועלים</t>
        </is>
      </c>
      <c r="F1" s="2" t="inlineStr">
        <is>
          <t>ארביטראז' גלובל אל פי</t>
        </is>
      </c>
      <c r="I1" s="3" t="inlineStr">
        <is>
          <t>תקופה 1</t>
        </is>
      </c>
      <c r="J1" s="3" t="inlineStr">
        <is>
          <t>תקופה 2</t>
        </is>
      </c>
      <c r="K1" s="3" t="inlineStr">
        <is>
          <t>תאריך שינוי ריבית</t>
        </is>
      </c>
    </row>
    <row r="2">
      <c r="A2" s="2" t="inlineStr">
        <is>
          <t>סניף מרכז תפעולי עסקי 600</t>
        </is>
      </c>
      <c r="F2" s="2" t="inlineStr">
        <is>
          <t>דרך בגין 144</t>
        </is>
      </c>
      <c r="H2" s="4" t="inlineStr">
        <is>
          <t>ריבית בנק ישראל</t>
        </is>
      </c>
      <c r="I2" s="5" t="n">
        <v>0.045</v>
      </c>
      <c r="J2" s="5" t="n">
        <v>0.0425</v>
      </c>
      <c r="K2" s="6" t="n">
        <v>27.11</v>
      </c>
    </row>
    <row r="3">
      <c r="A3" s="2" t="inlineStr">
        <is>
          <t>מס: 03-6532407</t>
        </is>
      </c>
      <c r="F3" s="2" t="inlineStr">
        <is>
          <t>תל אביב - יפו</t>
        </is>
      </c>
      <c r="H3" s="4" t="inlineStr">
        <is>
          <t>מרווח ריבית חובה</t>
        </is>
      </c>
      <c r="I3" s="7" t="n">
        <v>0.0035</v>
      </c>
    </row>
    <row r="4">
      <c r="A4" s="2" t="inlineStr">
        <is>
          <t>מס חשבון 463560</t>
        </is>
      </c>
      <c r="F4" s="2" t="inlineStr">
        <is>
          <t>6492102</t>
        </is>
      </c>
      <c r="H4" s="4" t="inlineStr">
        <is>
          <t>מרווח ריבית זכות</t>
        </is>
      </c>
      <c r="I4" s="7" t="n">
        <v>-0.006</v>
      </c>
    </row>
    <row r="5">
      <c r="A5" s="2" t="inlineStr">
        <is>
          <t xml:space="preserve">תאריך הדפסה </t>
        </is>
      </c>
    </row>
    <row r="7">
      <c r="A7" s="8" t="inlineStr">
        <is>
          <t>הנדון: פירוט חיוב הריבית מיום 01/01/26 לתקופה 01/10/25 - 31/12/25</t>
        </is>
      </c>
    </row>
    <row r="8">
      <c r="K8" s="2" t="inlineStr">
        <is>
          <t>אם יש יתרות זכות אז יחושב פה</t>
        </is>
      </c>
    </row>
    <row r="9">
      <c r="A9" s="9" t="inlineStr">
        <is>
          <t>מתאריך</t>
        </is>
      </c>
      <c r="B9" s="9" t="inlineStr">
        <is>
          <t>עד תאריך</t>
        </is>
      </c>
      <c r="C9" s="9" t="inlineStr">
        <is>
          <t>מסגרת חח"ד</t>
        </is>
      </c>
      <c r="D9" s="9" t="inlineStr">
        <is>
          <t>מסגרת נוספת חד-צדדית</t>
        </is>
      </c>
      <c r="E9" s="9" t="inlineStr">
        <is>
          <t>גובה המדרגה (ש"ח)</t>
        </is>
      </c>
      <c r="F9" s="9" t="inlineStr">
        <is>
          <t>אחוז ריבית</t>
        </is>
      </c>
      <c r="G9" s="10" t="inlineStr">
        <is>
          <t>מספרי חובה</t>
        </is>
      </c>
      <c r="H9" s="9" t="inlineStr">
        <is>
          <t>ריבית חובה (ש"ח)</t>
        </is>
      </c>
      <c r="I9" s="11">
        <f>$I$2+$I$3</f>
        <v/>
      </c>
      <c r="J9" s="11">
        <f>$J$2+$I$3</f>
        <v/>
      </c>
      <c r="K9" s="11">
        <f>$I$2+$I$4</f>
        <v/>
      </c>
      <c r="L9" s="11">
        <f>$J$2+$I$4</f>
        <v/>
      </c>
    </row>
    <row r="10">
      <c r="A10" s="12" t="inlineStr">
        <is>
          <t>01/10/25</t>
        </is>
      </c>
      <c r="B10" s="12" t="inlineStr">
        <is>
          <t>31/10/25</t>
        </is>
      </c>
      <c r="C10" s="13" t="inlineStr">
        <is>
          <t>13,000,000 ש"ח</t>
        </is>
      </c>
      <c r="D10" s="14" t="n"/>
      <c r="E10" s="14" t="n"/>
      <c r="F10" s="14" t="n"/>
      <c r="G10" s="14" t="n"/>
      <c r="H10" s="14" t="n"/>
    </row>
    <row r="11">
      <c r="A11" s="13" t="inlineStr">
        <is>
          <t>מדרגה 1</t>
        </is>
      </c>
      <c r="B11" s="14" t="n"/>
      <c r="C11" s="14" t="n"/>
      <c r="D11" s="14" t="n"/>
      <c r="E11" s="15" t="n">
        <v>13000000</v>
      </c>
      <c r="F11" s="16" t="n">
        <v>0.049</v>
      </c>
      <c r="G11" s="17" t="n">
        <v>83304292.11</v>
      </c>
      <c r="H11" s="18" t="n">
        <v>11183.32</v>
      </c>
      <c r="I11" s="19">
        <f>(F11-$I$9)/365*G11</f>
        <v/>
      </c>
    </row>
    <row r="12">
      <c r="A12" s="13" t="inlineStr">
        <is>
          <t>חריגה</t>
        </is>
      </c>
      <c r="B12" s="14" t="n"/>
      <c r="C12" s="14" t="n"/>
      <c r="D12" s="14" t="n"/>
      <c r="F12" s="16" t="n">
        <v>0.049</v>
      </c>
      <c r="G12" s="17" t="n">
        <v>208909220.12</v>
      </c>
      <c r="H12" s="18" t="n">
        <v>28045.35</v>
      </c>
      <c r="I12" s="19">
        <f>(F12-$I$9)/365*G12</f>
        <v/>
      </c>
    </row>
    <row r="13">
      <c r="A13" s="12" t="inlineStr">
        <is>
          <t>01/11/25</t>
        </is>
      </c>
      <c r="B13" s="12" t="inlineStr">
        <is>
          <t>25/11/25</t>
        </is>
      </c>
      <c r="C13" s="13" t="inlineStr">
        <is>
          <t>13,000,000 ש"ח</t>
        </is>
      </c>
      <c r="D13" s="14" t="n"/>
      <c r="E13" s="14" t="n"/>
      <c r="F13" s="14" t="n"/>
      <c r="G13" s="14" t="n"/>
      <c r="H13" s="14" t="n"/>
    </row>
    <row r="14">
      <c r="A14" s="13" t="inlineStr">
        <is>
          <t>מדרגה 1</t>
        </is>
      </c>
      <c r="B14" s="14" t="n"/>
      <c r="C14" s="14" t="n"/>
      <c r="D14" s="14" t="n"/>
      <c r="E14" s="15" t="n">
        <v>13000000</v>
      </c>
      <c r="F14" s="16" t="n">
        <v>0.049</v>
      </c>
      <c r="G14" s="17" t="n">
        <v>124902275.84</v>
      </c>
      <c r="H14" s="18" t="n">
        <v>16767.7</v>
      </c>
      <c r="I14" s="19">
        <f>(F14-$I$9)/365*G14</f>
        <v/>
      </c>
    </row>
    <row r="15">
      <c r="A15" s="13" t="inlineStr">
        <is>
          <t>חריגה</t>
        </is>
      </c>
      <c r="B15" s="14" t="n"/>
      <c r="C15" s="14" t="n"/>
      <c r="D15" s="14" t="n"/>
      <c r="F15" s="16" t="n">
        <v>0.049</v>
      </c>
      <c r="G15" s="17" t="n">
        <v>1409440543.08</v>
      </c>
      <c r="H15" s="18" t="n">
        <v>189212.57</v>
      </c>
      <c r="I15" s="19">
        <f>(F15-$I$9)/365*G15</f>
        <v/>
      </c>
    </row>
    <row r="16">
      <c r="A16" s="12" t="inlineStr">
        <is>
          <t>26/11/25</t>
        </is>
      </c>
      <c r="B16" s="12" t="inlineStr">
        <is>
          <t>26/11/25</t>
        </is>
      </c>
      <c r="C16" s="13" t="inlineStr">
        <is>
          <t>10,100,000 ש"ח</t>
        </is>
      </c>
      <c r="D16" s="14" t="n"/>
      <c r="E16" s="14" t="n"/>
      <c r="F16" s="14" t="n"/>
      <c r="G16" s="14" t="n"/>
      <c r="H16" s="14" t="n"/>
    </row>
    <row r="17">
      <c r="A17" s="13" t="inlineStr">
        <is>
          <t>מדרגה 1</t>
        </is>
      </c>
      <c r="B17" s="14" t="n"/>
      <c r="C17" s="14" t="n"/>
      <c r="D17" s="14" t="n"/>
      <c r="E17" s="15" t="n">
        <v>10100000</v>
      </c>
      <c r="F17" s="16" t="n">
        <v>0.049</v>
      </c>
      <c r="G17" s="17" t="n">
        <v>0</v>
      </c>
      <c r="H17" s="18" t="n">
        <v>0</v>
      </c>
      <c r="I17" s="19">
        <f>(F17-$I$9)/365*G17</f>
        <v/>
      </c>
      <c r="J17" s="19">
        <f>(F17-$J$9)/365*G17</f>
        <v/>
      </c>
    </row>
    <row r="18">
      <c r="A18" s="13" t="inlineStr">
        <is>
          <t>חריגה</t>
        </is>
      </c>
      <c r="B18" s="14" t="n"/>
      <c r="C18" s="14" t="n"/>
      <c r="D18" s="14" t="n"/>
      <c r="F18" s="16" t="n">
        <v>0.049</v>
      </c>
      <c r="G18" s="17" t="n">
        <v>0</v>
      </c>
      <c r="H18" s="18" t="n">
        <v>0</v>
      </c>
      <c r="I18" s="19">
        <f>(F18-$I$9)/365*G18</f>
        <v/>
      </c>
      <c r="J18" s="19">
        <f>(F18-$J$9)/365*G18</f>
        <v/>
      </c>
    </row>
    <row r="19">
      <c r="A19" s="12" t="inlineStr">
        <is>
          <t>27/11/25</t>
        </is>
      </c>
      <c r="B19" s="12" t="inlineStr">
        <is>
          <t>30/11/25</t>
        </is>
      </c>
      <c r="C19" s="13" t="inlineStr">
        <is>
          <t>10,100,000 ש"ח</t>
        </is>
      </c>
      <c r="D19" s="14" t="n"/>
      <c r="E19" s="14" t="n"/>
      <c r="F19" s="14" t="n"/>
      <c r="G19" s="14" t="n"/>
      <c r="H19" s="14" t="n"/>
    </row>
    <row r="20">
      <c r="A20" s="13" t="inlineStr">
        <is>
          <t>מדרגה 1</t>
        </is>
      </c>
      <c r="B20" s="14" t="n"/>
      <c r="C20" s="14" t="n"/>
      <c r="D20" s="14" t="n"/>
      <c r="E20" s="15" t="n">
        <v>10100000</v>
      </c>
      <c r="F20" s="16" t="n">
        <v>0.04650000000000001</v>
      </c>
      <c r="G20" s="17" t="n">
        <v>0</v>
      </c>
      <c r="H20" s="18" t="n">
        <v>0</v>
      </c>
      <c r="I20" s="19">
        <f>(F20-$I$9)/365*G20</f>
        <v/>
      </c>
      <c r="J20" s="19">
        <f>(F20-$J$9)/365*G20</f>
        <v/>
      </c>
    </row>
    <row r="21">
      <c r="A21" s="13" t="inlineStr">
        <is>
          <t>חריגה</t>
        </is>
      </c>
      <c r="B21" s="14" t="n"/>
      <c r="C21" s="14" t="n"/>
      <c r="D21" s="14" t="n"/>
      <c r="F21" s="16" t="n">
        <v>0.04650000000000001</v>
      </c>
      <c r="G21" s="17" t="n">
        <v>0</v>
      </c>
      <c r="H21" s="18" t="n">
        <v>0</v>
      </c>
      <c r="I21" s="19">
        <f>(F21-$I$9)/365*G21</f>
        <v/>
      </c>
      <c r="J21" s="19">
        <f>(F21-$J$9)/365*G21</f>
        <v/>
      </c>
    </row>
    <row r="22">
      <c r="A22" s="12" t="inlineStr">
        <is>
          <t>01/12/25</t>
        </is>
      </c>
      <c r="B22" s="12" t="inlineStr">
        <is>
          <t>21/12/25</t>
        </is>
      </c>
      <c r="C22" s="13" t="inlineStr">
        <is>
          <t>10,100,000 ש"ח</t>
        </is>
      </c>
      <c r="D22" s="14" t="n"/>
      <c r="E22" s="14" t="n"/>
      <c r="F22" s="14" t="n"/>
      <c r="G22" s="14" t="n"/>
      <c r="H22" s="14" t="n"/>
    </row>
    <row r="23">
      <c r="A23" s="13" t="inlineStr">
        <is>
          <t>מדרגה 1</t>
        </is>
      </c>
      <c r="B23" s="14" t="n"/>
      <c r="C23" s="14" t="n"/>
      <c r="D23" s="14" t="n"/>
      <c r="E23" s="15" t="n">
        <v>10100000</v>
      </c>
      <c r="F23" s="16" t="n">
        <v>0.04650000000000001</v>
      </c>
      <c r="G23" s="17" t="n">
        <v>0</v>
      </c>
      <c r="H23" s="18" t="n">
        <v>0</v>
      </c>
      <c r="I23" s="19">
        <f>(F23-$I$9)/365*G23</f>
        <v/>
      </c>
      <c r="J23" s="19">
        <f>(F23-$J$9)/365*G23</f>
        <v/>
      </c>
    </row>
    <row r="24">
      <c r="A24" s="13" t="inlineStr">
        <is>
          <t>חריגה</t>
        </is>
      </c>
      <c r="B24" s="14" t="n"/>
      <c r="C24" s="14" t="n"/>
      <c r="D24" s="14" t="n"/>
      <c r="F24" s="16" t="n">
        <v>0.04650000000000001</v>
      </c>
      <c r="G24" s="17" t="n">
        <v>0</v>
      </c>
      <c r="H24" s="18" t="n">
        <v>0</v>
      </c>
      <c r="I24" s="19">
        <f>(F24-$I$9)/365*G24</f>
        <v/>
      </c>
      <c r="J24" s="19">
        <f>(F24-$J$9)/365*G24</f>
        <v/>
      </c>
    </row>
    <row r="25">
      <c r="A25" s="12" t="inlineStr">
        <is>
          <t>22/12/25</t>
        </is>
      </c>
      <c r="B25" s="12" t="inlineStr">
        <is>
          <t>31/12/25</t>
        </is>
      </c>
      <c r="C25" s="13" t="inlineStr">
        <is>
          <t>3,100,000 ש"ח</t>
        </is>
      </c>
      <c r="D25" s="14" t="n"/>
      <c r="E25" s="14" t="n"/>
      <c r="F25" s="14" t="n"/>
      <c r="G25" s="14" t="n"/>
      <c r="H25" s="14" t="n"/>
    </row>
    <row r="26">
      <c r="A26" s="13" t="inlineStr">
        <is>
          <t>מדרגה 1</t>
        </is>
      </c>
      <c r="B26" s="14" t="n"/>
      <c r="C26" s="14" t="n"/>
      <c r="D26" s="14" t="n"/>
      <c r="E26" s="15" t="n">
        <v>3100000</v>
      </c>
      <c r="F26" s="16" t="n">
        <v>0.04650000000000001</v>
      </c>
      <c r="G26" s="17" t="n">
        <v>0</v>
      </c>
      <c r="H26" s="18" t="n">
        <v>0</v>
      </c>
      <c r="I26" s="19">
        <f>(F26-$I$9)/365*G26</f>
        <v/>
      </c>
      <c r="J26" s="19">
        <f>(F26-$J$9)/365*G26</f>
        <v/>
      </c>
    </row>
    <row r="27">
      <c r="A27" s="13" t="inlineStr">
        <is>
          <t>חריגה</t>
        </is>
      </c>
      <c r="B27" s="14" t="n"/>
      <c r="C27" s="14" t="n"/>
      <c r="D27" s="14" t="n"/>
      <c r="F27" s="16" t="n">
        <v>0.04650000000000001</v>
      </c>
      <c r="G27" s="17" t="n">
        <v>0</v>
      </c>
      <c r="H27" s="18" t="n">
        <v>0</v>
      </c>
      <c r="I27" s="19">
        <f>(F27-$I$9)/365*G27</f>
        <v/>
      </c>
      <c r="J27" s="19">
        <f>(F27-$J$9)/365*G27</f>
        <v/>
      </c>
    </row>
    <row r="28">
      <c r="H28" s="4" t="inlineStr">
        <is>
          <t>החזר</t>
        </is>
      </c>
      <c r="I28" s="20">
        <f>SUM(I11:I27)</f>
        <v/>
      </c>
    </row>
    <row r="29">
      <c r="A29" s="4" t="inlineStr">
        <is>
          <t>סה"כ ריבית חובה:</t>
        </is>
      </c>
      <c r="F29" s="2" t="inlineStr">
        <is>
          <t>מדרגה 1</t>
        </is>
      </c>
      <c r="G29" s="21" t="n">
        <v>27951.02</v>
      </c>
    </row>
    <row r="30">
      <c r="F30" s="2" t="inlineStr">
        <is>
          <t>חריגה</t>
        </is>
      </c>
      <c r="G30" s="21" t="n">
        <v>217257.92</v>
      </c>
    </row>
    <row r="31">
      <c r="G31" s="22">
        <f>SUM(G29:G30)</f>
        <v/>
      </c>
    </row>
    <row r="32">
      <c r="A32" s="4" t="inlineStr">
        <is>
          <t>חשבונך חויב ב- 01/01/26 בסכום של: 245,208.93 ש"ח.</t>
        </is>
      </c>
    </row>
    <row r="34">
      <c r="A34" s="4" t="inlineStr">
        <is>
          <t>לידיעתך:</t>
        </is>
      </c>
    </row>
    <row r="35">
      <c r="A35" s="23" t="inlineStr">
        <is>
          <t>מספרי חובה - נתון זה הינו סיכום (חיבור) של יתרות החובה בפועל (לפי תאריכי ערך)</t>
        </is>
      </c>
    </row>
    <row r="36">
      <c r="A36" s="24" t="inlineStr">
        <is>
          <t>בתקופת החישוב לגביה מחושבת ריבית החובה במדרגה הנדונה.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2" customWidth="1" min="14" max="14"/>
    <col width="18" customWidth="1" min="15" max="15"/>
  </cols>
  <sheetData>
    <row r="1">
      <c r="M1" s="3" t="inlineStr">
        <is>
          <t>תקופה 1</t>
        </is>
      </c>
      <c r="N1" s="3" t="inlineStr">
        <is>
          <t>תקופה 2</t>
        </is>
      </c>
      <c r="O1" s="3" t="inlineStr">
        <is>
          <t>תאריך שינוי ריבית</t>
        </is>
      </c>
    </row>
    <row r="2">
      <c r="L2" s="4" t="inlineStr">
        <is>
          <t>ריבית בנק ישראל</t>
        </is>
      </c>
      <c r="M2" s="5" t="n">
        <v>0.045</v>
      </c>
      <c r="N2" s="5" t="n">
        <v>0.0425</v>
      </c>
      <c r="O2" s="25" t="inlineStr">
        <is>
          <t>27.11</t>
        </is>
      </c>
    </row>
    <row r="3">
      <c r="A3" s="26" t="inlineStr">
        <is>
          <t>תנועות בחשבון</t>
        </is>
      </c>
      <c r="L3" s="4" t="inlineStr">
        <is>
          <t>מרווח ריבית חובה</t>
        </is>
      </c>
      <c r="M3" s="7" t="n">
        <v>0.0035</v>
      </c>
    </row>
    <row r="4">
      <c r="A4" s="4" t="inlineStr">
        <is>
          <t>מספר חשבון 12-600-463560 לתקופה: 01/10/25 - 31/12/25</t>
        </is>
      </c>
      <c r="L4" s="4" t="inlineStr">
        <is>
          <t>מרווח ריבית זכות</t>
        </is>
      </c>
      <c r="M4" s="7" t="n">
        <v>-0.006</v>
      </c>
    </row>
    <row r="5">
      <c r="A5" s="27" t="inlineStr">
        <is>
          <t>תאריך</t>
        </is>
      </c>
      <c r="B5" s="27" t="inlineStr">
        <is>
          <t>קוד פעולה</t>
        </is>
      </c>
      <c r="C5" s="27" t="inlineStr">
        <is>
          <t>הפעולה</t>
        </is>
      </c>
      <c r="D5" s="27" t="inlineStr">
        <is>
          <t>פרטים</t>
        </is>
      </c>
      <c r="E5" s="27" t="inlineStr">
        <is>
          <t>אסמכתא</t>
        </is>
      </c>
      <c r="F5" s="27" t="inlineStr">
        <is>
          <t>צרור</t>
        </is>
      </c>
      <c r="G5" s="27" t="inlineStr">
        <is>
          <t>חובה</t>
        </is>
      </c>
      <c r="H5" s="27" t="inlineStr">
        <is>
          <t>זכות</t>
        </is>
      </c>
      <c r="I5" s="27" t="inlineStr">
        <is>
          <t>יתרה בש"ח</t>
        </is>
      </c>
      <c r="J5" s="27" t="inlineStr">
        <is>
          <t>הערה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2" customWidth="1" min="10" max="10"/>
    <col width="12" customWidth="1" min="11" max="11"/>
    <col width="16" customWidth="1" min="12" max="12"/>
    <col width="22" customWidth="1" min="13" max="13"/>
    <col width="18" customWidth="1" min="14" max="14"/>
  </cols>
  <sheetData>
    <row r="1">
      <c r="L1" s="3" t="inlineStr">
        <is>
          <t>תקופה 1</t>
        </is>
      </c>
      <c r="M1" s="3" t="inlineStr">
        <is>
          <t>תקופה 2</t>
        </is>
      </c>
      <c r="N1" s="3" t="inlineStr">
        <is>
          <t>תאריך שינוי ריבית</t>
        </is>
      </c>
    </row>
    <row r="2">
      <c r="K2" s="4" t="inlineStr">
        <is>
          <t>ריבית בנק ישראל</t>
        </is>
      </c>
      <c r="L2" s="5" t="n">
        <v>0.045</v>
      </c>
      <c r="M2" s="5" t="n">
        <v>0.0425</v>
      </c>
      <c r="N2" s="25" t="inlineStr">
        <is>
          <t>27.11</t>
        </is>
      </c>
    </row>
    <row r="3">
      <c r="K3" s="4" t="inlineStr">
        <is>
          <t>מרווח ריבית חובה</t>
        </is>
      </c>
      <c r="L3" s="7" t="n">
        <v>0.0035</v>
      </c>
    </row>
    <row r="4">
      <c r="A4" s="28" t="inlineStr">
        <is>
          <t>תנועות בחשבון</t>
        </is>
      </c>
      <c r="K4" s="4" t="inlineStr">
        <is>
          <t>מרווח ריבית זכות</t>
        </is>
      </c>
      <c r="L4" s="7" t="n">
        <v>-0.006</v>
      </c>
    </row>
    <row r="5">
      <c r="A5" s="29" t="inlineStr">
        <is>
          <t>מספר חשבון 12-600-463560 לתקופה: 01/10/25 - 31/12/25</t>
        </is>
      </c>
      <c r="L5" s="3" t="inlineStr">
        <is>
          <t>ריבית חובה</t>
        </is>
      </c>
      <c r="M5" s="3" t="inlineStr">
        <is>
          <t>ריבית חובה 2</t>
        </is>
      </c>
    </row>
    <row r="6">
      <c r="A6" s="27" t="inlineStr">
        <is>
          <t>תאריך</t>
        </is>
      </c>
      <c r="B6" s="30" t="inlineStr">
        <is>
          <t>קוד פעולה</t>
        </is>
      </c>
      <c r="C6" s="30" t="inlineStr">
        <is>
          <t>הפעולה</t>
        </is>
      </c>
      <c r="D6" s="30" t="inlineStr">
        <is>
          <t>פרטים</t>
        </is>
      </c>
      <c r="E6" s="30" t="inlineStr">
        <is>
          <t>אסמכתא</t>
        </is>
      </c>
      <c r="F6" s="30" t="inlineStr">
        <is>
          <t>צרור</t>
        </is>
      </c>
      <c r="G6" s="30" t="inlineStr">
        <is>
          <t>חובה</t>
        </is>
      </c>
      <c r="H6" s="30" t="inlineStr">
        <is>
          <t>זכות</t>
        </is>
      </c>
      <c r="I6" s="30" t="inlineStr">
        <is>
          <t>יתרה בש"ח</t>
        </is>
      </c>
      <c r="J6" s="27" t="inlineStr">
        <is>
          <t>מספר ימים</t>
        </is>
      </c>
      <c r="K6" s="31">
        <f>$L$2+$L$3</f>
        <v/>
      </c>
      <c r="L6" s="31">
        <f>$M$2+$L$3</f>
        <v/>
      </c>
    </row>
    <row r="7">
      <c r="A7" s="32" t="n">
        <v>46023</v>
      </c>
    </row>
    <row r="8">
      <c r="K8" s="22" t="n">
        <v>0</v>
      </c>
      <c r="L8" s="4" t="inlineStr">
        <is>
          <t>ריבית מחושבת</t>
        </is>
      </c>
    </row>
    <row r="9">
      <c r="K9" s="33">
        <f>-INT('פירוט ריבית חובה לפי PDF'!G31)</f>
        <v/>
      </c>
      <c r="L9" s="2" t="inlineStr">
        <is>
          <t>ריבית שירדה בפועל</t>
        </is>
      </c>
    </row>
    <row r="10">
      <c r="K10" s="20">
        <f>K8-K9</f>
        <v/>
      </c>
      <c r="L10" s="34" t="inlineStr">
        <is>
          <t>החזר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2026-03-12T10:00:05Z</dcterms:created>
  <dcterms:modified xsi:type="dcterms:W3CDTF">2026-03-12T10:00:05Z</dcterms:modified>
</cp:coreProperties>
</file>