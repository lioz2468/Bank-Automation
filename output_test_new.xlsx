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3" fontId="0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463579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45932</v>
      </c>
      <c r="C10" s="13" t="inlineStr">
        <is>
          <t>1,000,000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1000000</v>
      </c>
      <c r="F11" s="17" t="n">
        <v>0.049</v>
      </c>
      <c r="G11" s="18" t="n">
        <v>2000000</v>
      </c>
      <c r="H11" s="19" t="n">
        <v>268.49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513148255.3</v>
      </c>
      <c r="H12" s="19" t="n">
        <v>68888.39999999999</v>
      </c>
      <c r="J12" s="20">
        <f>($J$9-F12)*G12/365</f>
        <v/>
      </c>
    </row>
    <row r="13">
      <c r="A13" s="12" t="n">
        <v>45933</v>
      </c>
      <c r="B13" s="12" t="n">
        <v>45934</v>
      </c>
      <c r="C13" s="13" t="inlineStr">
        <is>
          <t>1,000,000 ש"ח</t>
        </is>
      </c>
      <c r="D13" s="13" t="inlineStr">
        <is>
          <t>265,000,000 ש"ח</t>
        </is>
      </c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1000000</v>
      </c>
      <c r="F14" s="17" t="n">
        <v>0.049</v>
      </c>
      <c r="G14" s="18" t="n">
        <v>2000000</v>
      </c>
      <c r="H14" s="19" t="n">
        <v>268.49</v>
      </c>
      <c r="J14" s="20">
        <f>($J$9-F14)*G14/365</f>
        <v/>
      </c>
    </row>
    <row r="15">
      <c r="A15" s="13" t="inlineStr">
        <is>
          <t>מדרגה 2</t>
        </is>
      </c>
      <c r="B15" s="14" t="n"/>
      <c r="C15" s="14" t="n"/>
      <c r="D15" s="14" t="n"/>
      <c r="E15" s="16" t="n">
        <v>266000000</v>
      </c>
      <c r="F15" s="17" t="n">
        <v>0.049</v>
      </c>
      <c r="G15" s="18" t="n">
        <v>524518739.54</v>
      </c>
      <c r="H15" s="19" t="n">
        <v>70414.84</v>
      </c>
      <c r="J15" s="20">
        <f>($J$9-F15)*G15/365</f>
        <v/>
      </c>
    </row>
    <row r="16">
      <c r="A16" s="13" t="inlineStr">
        <is>
          <t>חריגה</t>
        </is>
      </c>
      <c r="B16" s="14" t="n"/>
      <c r="C16" s="14" t="n"/>
      <c r="D16" s="14" t="n"/>
      <c r="F16" s="17" t="n">
        <v>0.049</v>
      </c>
      <c r="G16" s="18" t="n">
        <v>0</v>
      </c>
      <c r="H16" s="19" t="n">
        <v>0</v>
      </c>
      <c r="J16" s="20">
        <f>($J$9-F16)*G16/365</f>
        <v/>
      </c>
    </row>
    <row r="17">
      <c r="A17" s="12" t="n">
        <v>45935</v>
      </c>
      <c r="B17" s="12" t="n">
        <v>45952</v>
      </c>
      <c r="C17" s="13" t="inlineStr">
        <is>
          <t>1,000,000 ש"ח</t>
        </is>
      </c>
      <c r="D17" s="13" t="inlineStr">
        <is>
          <t>265,000,000 ש"ח</t>
        </is>
      </c>
      <c r="E17" s="14" t="n"/>
      <c r="F17" s="14" t="n"/>
      <c r="G17" s="14" t="n"/>
      <c r="H17" s="14" t="n"/>
      <c r="I17" s="15">
        <f>B17-A17</f>
        <v/>
      </c>
    </row>
    <row r="18">
      <c r="A18" s="13" t="inlineStr">
        <is>
          <t>מדרגה 1</t>
        </is>
      </c>
      <c r="B18" s="14" t="n"/>
      <c r="C18" s="14" t="n"/>
      <c r="D18" s="14" t="n"/>
      <c r="E18" s="16" t="n">
        <v>1000000</v>
      </c>
      <c r="F18" s="17" t="n">
        <v>0.049</v>
      </c>
      <c r="G18" s="18" t="n">
        <v>18000000</v>
      </c>
      <c r="H18" s="19" t="n">
        <v>2416.44</v>
      </c>
      <c r="J18" s="20">
        <f>($J$9-F18)*G18/365</f>
        <v/>
      </c>
    </row>
    <row r="19">
      <c r="A19" s="13" t="inlineStr">
        <is>
          <t>מדרגה 2</t>
        </is>
      </c>
      <c r="B19" s="14" t="n"/>
      <c r="C19" s="14" t="n"/>
      <c r="D19" s="14" t="n"/>
      <c r="E19" s="16" t="n">
        <v>266000000</v>
      </c>
      <c r="F19" s="17" t="n">
        <v>0.049</v>
      </c>
      <c r="G19" s="18" t="n">
        <v>4263476690.39</v>
      </c>
      <c r="H19" s="19" t="n">
        <v>572357.14</v>
      </c>
      <c r="J19" s="20">
        <f>($J$9-F19)*G19/365</f>
        <v/>
      </c>
    </row>
    <row r="20">
      <c r="A20" s="13" t="inlineStr">
        <is>
          <t>חריגה</t>
        </is>
      </c>
      <c r="B20" s="14" t="n"/>
      <c r="C20" s="14" t="n"/>
      <c r="D20" s="14" t="n"/>
      <c r="F20" s="17" t="n">
        <v>0.08400000000000001</v>
      </c>
      <c r="G20" s="18" t="n">
        <v>0</v>
      </c>
      <c r="H20" s="19" t="n">
        <v>0</v>
      </c>
      <c r="J20" s="20">
        <f>($J$9-F20)*G20/365</f>
        <v/>
      </c>
    </row>
    <row r="21">
      <c r="A21" s="12" t="n">
        <v>45953</v>
      </c>
      <c r="B21" s="12" t="n">
        <v>45960</v>
      </c>
      <c r="C21" s="13" t="inlineStr">
        <is>
          <t>1,000,000 ש"ח</t>
        </is>
      </c>
      <c r="D21" s="13" t="inlineStr">
        <is>
          <t>265,000,000 ש"ח</t>
        </is>
      </c>
      <c r="E21" s="14" t="n"/>
      <c r="F21" s="14" t="n"/>
      <c r="G21" s="14" t="n"/>
      <c r="H21" s="14" t="n"/>
      <c r="I21" s="15">
        <f>B21-A21</f>
        <v/>
      </c>
    </row>
    <row r="22">
      <c r="A22" s="13" t="inlineStr">
        <is>
          <t>מדרגה 1</t>
        </is>
      </c>
      <c r="B22" s="14" t="n"/>
      <c r="C22" s="14" t="n"/>
      <c r="D22" s="14" t="n"/>
      <c r="E22" s="16" t="n">
        <v>1000000</v>
      </c>
      <c r="F22" s="17" t="n">
        <v>0.049</v>
      </c>
      <c r="G22" s="18" t="n">
        <v>8000000</v>
      </c>
      <c r="H22" s="19" t="n">
        <v>1073.97</v>
      </c>
      <c r="J22" s="20">
        <f>($J$9-F22)*G22/365</f>
        <v/>
      </c>
    </row>
    <row r="23">
      <c r="A23" s="13" t="inlineStr">
        <is>
          <t>מדרגה 2</t>
        </is>
      </c>
      <c r="B23" s="14" t="n"/>
      <c r="C23" s="14" t="n"/>
      <c r="D23" s="14" t="n"/>
      <c r="E23" s="16" t="n">
        <v>266000000</v>
      </c>
      <c r="F23" s="17" t="n">
        <v>0.049</v>
      </c>
      <c r="G23" s="18" t="n">
        <v>1918882241.54</v>
      </c>
      <c r="H23" s="19" t="n">
        <v>257603.37</v>
      </c>
      <c r="J23" s="20">
        <f>($J$9-F23)*G23/365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0.049</v>
      </c>
      <c r="G24" s="18" t="n">
        <v>5563893.53</v>
      </c>
      <c r="H24" s="19" t="n">
        <v>746.9299999999999</v>
      </c>
      <c r="J24" s="20">
        <f>($J$9-F24)*G24/365</f>
        <v/>
      </c>
    </row>
    <row r="25">
      <c r="A25" s="12" t="n">
        <v>45961</v>
      </c>
      <c r="B25" s="12" t="n">
        <v>45961</v>
      </c>
      <c r="C25" s="13" t="inlineStr">
        <is>
          <t>1,000,000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1000000</v>
      </c>
      <c r="F26" s="17" t="n">
        <v>0.049</v>
      </c>
      <c r="G26" s="18" t="n">
        <v>1000000</v>
      </c>
      <c r="H26" s="19" t="n">
        <v>134.25</v>
      </c>
      <c r="J26" s="20">
        <f>($J$9-F26)*G26/365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0.049</v>
      </c>
      <c r="G27" s="18" t="n">
        <v>264795867.76</v>
      </c>
      <c r="H27" s="19" t="n">
        <v>35547.94</v>
      </c>
      <c r="J27" s="20">
        <f>($J$9-F27)*G27/365</f>
        <v/>
      </c>
    </row>
    <row r="28">
      <c r="A28" s="12" t="n">
        <v>45962</v>
      </c>
      <c r="B28" s="12" t="n">
        <v>45980</v>
      </c>
      <c r="C28" s="13" t="inlineStr">
        <is>
          <t>1,000,000 ש"ח</t>
        </is>
      </c>
      <c r="D28" s="14" t="n"/>
      <c r="E28" s="14" t="n"/>
      <c r="F28" s="14" t="n"/>
      <c r="G28" s="14" t="n"/>
      <c r="H28" s="14" t="n"/>
      <c r="I28" s="15">
        <f>B28-A28</f>
        <v/>
      </c>
    </row>
    <row r="29">
      <c r="A29" s="13" t="inlineStr">
        <is>
          <t>מדרגה 1</t>
        </is>
      </c>
      <c r="B29" s="14" t="n"/>
      <c r="C29" s="14" t="n"/>
      <c r="D29" s="14" t="n"/>
      <c r="E29" s="16" t="n">
        <v>1000000</v>
      </c>
      <c r="F29" s="17" t="n">
        <v>0.049</v>
      </c>
      <c r="G29" s="18" t="n">
        <v>19000000</v>
      </c>
      <c r="H29" s="19" t="n">
        <v>2550.68</v>
      </c>
      <c r="J29" s="20">
        <f>($J$9-F29)*G29/365</f>
        <v/>
      </c>
    </row>
    <row r="30">
      <c r="A30" s="13" t="inlineStr">
        <is>
          <t>חריגה</t>
        </is>
      </c>
      <c r="B30" s="14" t="n"/>
      <c r="C30" s="14" t="n"/>
      <c r="D30" s="14" t="n"/>
      <c r="F30" s="17" t="n">
        <v>0.049</v>
      </c>
      <c r="G30" s="18" t="n">
        <v>5087273099.89</v>
      </c>
      <c r="H30" s="19" t="n">
        <v>682948.99</v>
      </c>
      <c r="J30" s="20">
        <f>($J$9-F30)*G30/365</f>
        <v/>
      </c>
    </row>
    <row r="31">
      <c r="A31" s="12" t="n">
        <v>45981</v>
      </c>
      <c r="B31" s="12" t="n">
        <v>45987</v>
      </c>
      <c r="C31" s="13" t="inlineStr">
        <is>
          <t>1,000,000 ש"ח</t>
        </is>
      </c>
      <c r="D31" s="13" t="inlineStr">
        <is>
          <t>280,000,000 ש"ח</t>
        </is>
      </c>
      <c r="E31" s="14" t="n"/>
      <c r="F31" s="14" t="n"/>
      <c r="G31" s="14" t="n"/>
      <c r="H31" s="14" t="n"/>
      <c r="I31" s="15">
        <f>B31-A31</f>
        <v/>
      </c>
    </row>
    <row r="32">
      <c r="A32" s="13" t="inlineStr">
        <is>
          <t>מדרגה 1</t>
        </is>
      </c>
      <c r="B32" s="14" t="n"/>
      <c r="C32" s="14" t="n"/>
      <c r="D32" s="14" t="n"/>
      <c r="E32" s="16" t="n">
        <v>1000000</v>
      </c>
      <c r="F32" s="17" t="n">
        <v>0.049</v>
      </c>
      <c r="G32" s="18" t="n">
        <v>7000000</v>
      </c>
      <c r="H32" s="19" t="n">
        <v>939.73</v>
      </c>
      <c r="J32" s="20">
        <f>($J$9-F32)*G32/365</f>
        <v/>
      </c>
    </row>
    <row r="33">
      <c r="A33" s="13" t="inlineStr">
        <is>
          <t>מדרגה 2</t>
        </is>
      </c>
      <c r="B33" s="14" t="n"/>
      <c r="C33" s="14" t="n"/>
      <c r="D33" s="14" t="n"/>
      <c r="E33" s="16" t="n">
        <v>281000000</v>
      </c>
      <c r="F33" s="17" t="n">
        <v>0.049</v>
      </c>
      <c r="G33" s="18" t="n">
        <v>1960000000</v>
      </c>
      <c r="H33" s="19" t="n">
        <v>263123.29</v>
      </c>
      <c r="J33" s="20">
        <f>($J$9-F33)*G33/365</f>
        <v/>
      </c>
    </row>
    <row r="34">
      <c r="A34" s="13" t="inlineStr">
        <is>
          <t>חריגה</t>
        </is>
      </c>
      <c r="B34" s="14" t="n"/>
      <c r="C34" s="14" t="n"/>
      <c r="D34" s="14" t="n"/>
      <c r="F34" s="17" t="n">
        <v>0.049</v>
      </c>
      <c r="G34" s="18" t="n">
        <v>125247234.62</v>
      </c>
      <c r="H34" s="19" t="n">
        <v>16814.01</v>
      </c>
      <c r="J34" s="20">
        <f>($J$9-F34)*G34/365</f>
        <v/>
      </c>
    </row>
    <row r="35">
      <c r="A35" s="12" t="n">
        <v>45988</v>
      </c>
      <c r="B35" s="12" t="n">
        <v>45991</v>
      </c>
      <c r="C35" s="13" t="inlineStr">
        <is>
          <t>1,000,000 ש"ח</t>
        </is>
      </c>
      <c r="D35" s="13" t="inlineStr">
        <is>
          <t>280,000,000 ש"ח</t>
        </is>
      </c>
      <c r="E35" s="14" t="n"/>
      <c r="F35" s="14" t="n"/>
      <c r="G35" s="14" t="n"/>
      <c r="H35" s="14" t="n"/>
      <c r="I35" s="15">
        <f>B35-A35</f>
        <v/>
      </c>
    </row>
    <row r="36">
      <c r="A36" s="13" t="inlineStr">
        <is>
          <t>מדרגה 1</t>
        </is>
      </c>
      <c r="B36" s="14" t="n"/>
      <c r="C36" s="14" t="n"/>
      <c r="D36" s="14" t="n"/>
      <c r="E36" s="16" t="n">
        <v>1000000</v>
      </c>
      <c r="F36" s="17" t="n">
        <v>0.04650000000000001</v>
      </c>
      <c r="G36" s="18" t="n">
        <v>4000000</v>
      </c>
      <c r="H36" s="19" t="n">
        <v>509.59</v>
      </c>
      <c r="K36" s="20">
        <f>($K$9-F36)*G36/365</f>
        <v/>
      </c>
    </row>
    <row r="37">
      <c r="A37" s="13" t="inlineStr">
        <is>
          <t>מדרגה 2</t>
        </is>
      </c>
      <c r="B37" s="14" t="n"/>
      <c r="C37" s="14" t="n"/>
      <c r="D37" s="14" t="n"/>
      <c r="E37" s="16" t="n">
        <v>281000000</v>
      </c>
      <c r="F37" s="17" t="n">
        <v>0.04650000000000001</v>
      </c>
      <c r="G37" s="18" t="n">
        <v>1110998967.4</v>
      </c>
      <c r="H37" s="19" t="n">
        <v>141538.22</v>
      </c>
      <c r="K37" s="20">
        <f>($K$9-F37)*G37/365</f>
        <v/>
      </c>
    </row>
    <row r="38">
      <c r="A38" s="13" t="inlineStr">
        <is>
          <t>חריגה</t>
        </is>
      </c>
      <c r="B38" s="14" t="n"/>
      <c r="C38" s="14" t="n"/>
      <c r="D38" s="14" t="n"/>
      <c r="F38" s="17" t="n">
        <v>0.04650000000000001</v>
      </c>
      <c r="G38" s="18" t="n">
        <v>175045144.21</v>
      </c>
      <c r="H38" s="19" t="n">
        <v>22300.27</v>
      </c>
      <c r="K38" s="20">
        <f>($K$9-F38)*G38/365</f>
        <v/>
      </c>
    </row>
    <row r="39">
      <c r="A39" s="12" t="n">
        <v>45992</v>
      </c>
      <c r="B39" s="12" t="n">
        <v>45992</v>
      </c>
      <c r="C39" s="13" t="inlineStr">
        <is>
          <t>1,000,000 ש"ח</t>
        </is>
      </c>
      <c r="D39" s="14" t="n"/>
      <c r="E39" s="14" t="n"/>
      <c r="F39" s="14" t="n"/>
      <c r="G39" s="14" t="n"/>
      <c r="H39" s="14" t="n"/>
      <c r="I39" s="15">
        <f>B39-A39</f>
        <v/>
      </c>
    </row>
    <row r="40">
      <c r="A40" s="13" t="inlineStr">
        <is>
          <t>מדרגה 1</t>
        </is>
      </c>
      <c r="B40" s="14" t="n"/>
      <c r="C40" s="14" t="n"/>
      <c r="D40" s="14" t="n"/>
      <c r="E40" s="16" t="n">
        <v>1000000</v>
      </c>
      <c r="F40" s="17" t="n">
        <v>0.04650000000000001</v>
      </c>
      <c r="G40" s="18" t="n">
        <v>1000000</v>
      </c>
      <c r="H40" s="19" t="n">
        <v>127.4</v>
      </c>
      <c r="K40" s="20">
        <f>($K$9-F40)*G40/365</f>
        <v/>
      </c>
    </row>
    <row r="41">
      <c r="A41" s="13" t="inlineStr">
        <is>
          <t>חריגה</t>
        </is>
      </c>
      <c r="B41" s="14" t="n"/>
      <c r="C41" s="14" t="n"/>
      <c r="D41" s="14" t="n"/>
      <c r="F41" s="17" t="n">
        <v>0.04650000000000001</v>
      </c>
      <c r="G41" s="18" t="n">
        <v>271505336.37</v>
      </c>
      <c r="H41" s="19" t="n">
        <v>34589.04</v>
      </c>
      <c r="K41" s="20">
        <f>($K$9-F41)*G41/365</f>
        <v/>
      </c>
    </row>
    <row r="42">
      <c r="A42" s="12" t="n">
        <v>45993</v>
      </c>
      <c r="B42" s="12" t="n">
        <v>46022</v>
      </c>
      <c r="C42" s="13" t="inlineStr">
        <is>
          <t>1,000,000 ש"ח</t>
        </is>
      </c>
      <c r="D42" s="13" t="inlineStr">
        <is>
          <t>400,000,000 ש"ח</t>
        </is>
      </c>
      <c r="E42" s="14" t="n"/>
      <c r="F42" s="14" t="n"/>
      <c r="G42" s="14" t="n"/>
      <c r="H42" s="14" t="n"/>
      <c r="I42" s="15">
        <f>B42-A42</f>
        <v/>
      </c>
    </row>
    <row r="43">
      <c r="A43" s="13" t="inlineStr">
        <is>
          <t>מדרגה 1</t>
        </is>
      </c>
      <c r="B43" s="14" t="n"/>
      <c r="C43" s="14" t="n"/>
      <c r="D43" s="14" t="n"/>
      <c r="E43" s="16" t="n">
        <v>1000000</v>
      </c>
      <c r="F43" s="17" t="n">
        <v>0.04650000000000001</v>
      </c>
      <c r="G43" s="18" t="n">
        <v>30000000</v>
      </c>
      <c r="H43" s="19" t="n">
        <v>3821.92</v>
      </c>
      <c r="K43" s="20">
        <f>($K$9-F43)*G43/365</f>
        <v/>
      </c>
    </row>
    <row r="44">
      <c r="A44" s="13" t="inlineStr">
        <is>
          <t>מדרגה 2</t>
        </is>
      </c>
      <c r="B44" s="14" t="n"/>
      <c r="C44" s="14" t="n"/>
      <c r="D44" s="14" t="n"/>
      <c r="E44" s="16" t="n">
        <v>401000000</v>
      </c>
      <c r="F44" s="17" t="n">
        <v>0.04650000000000001</v>
      </c>
      <c r="G44" s="18" t="n">
        <v>9110907428.34</v>
      </c>
      <c r="H44" s="19" t="n">
        <v>1160704.64</v>
      </c>
      <c r="K44" s="20">
        <f>($K$9-F44)*G44/365</f>
        <v/>
      </c>
    </row>
    <row r="45">
      <c r="A45" s="13" t="inlineStr">
        <is>
          <t>חריגה</t>
        </is>
      </c>
      <c r="B45" s="14" t="n"/>
      <c r="C45" s="14" t="n"/>
      <c r="D45" s="14" t="n"/>
      <c r="F45" s="17" t="n">
        <v>0.04650000000000001</v>
      </c>
      <c r="G45" s="18" t="n">
        <v>105476914.89</v>
      </c>
      <c r="H45" s="19" t="n">
        <v>13437.47</v>
      </c>
      <c r="K45" s="20">
        <f>($K$9-F45)*G45/365</f>
        <v/>
      </c>
    </row>
    <row r="47">
      <c r="A47" s="4" t="inlineStr">
        <is>
          <t>סה"כ ריבית חובה:</t>
        </is>
      </c>
      <c r="F47" s="2" t="inlineStr">
        <is>
          <t>מדרגה 1</t>
        </is>
      </c>
      <c r="G47" s="21" t="n">
        <v>12110.96</v>
      </c>
      <c r="J47" s="22">
        <f>SUM(J11:J45)</f>
        <v/>
      </c>
      <c r="K47" s="22">
        <f>SUM(K11:K45)</f>
        <v/>
      </c>
      <c r="L47" s="22">
        <f>SUM(J47:K47)</f>
        <v/>
      </c>
      <c r="M47" s="4" t="inlineStr">
        <is>
          <t>החזר</t>
        </is>
      </c>
    </row>
    <row r="48">
      <c r="F48" s="2" t="inlineStr">
        <is>
          <t>מדרגה 2</t>
        </is>
      </c>
      <c r="G48" s="21" t="n">
        <v>2465741.5</v>
      </c>
    </row>
    <row r="49">
      <c r="F49" s="2" t="inlineStr">
        <is>
          <t>חריגה</t>
        </is>
      </c>
      <c r="G49" s="21" t="n">
        <v>875273.05</v>
      </c>
    </row>
    <row r="50">
      <c r="G50" s="23">
        <f>SUM(G47:G49)</f>
        <v/>
      </c>
    </row>
    <row r="51">
      <c r="A51" s="4" t="inlineStr">
        <is>
          <t>חשבונך חויב ב- 01/01/26 בסכום של: 3,353,125.53 ש"ח.</t>
        </is>
      </c>
    </row>
    <row r="53">
      <c r="A53" s="4" t="inlineStr">
        <is>
          <t>לידיעתך:</t>
        </is>
      </c>
    </row>
    <row r="54">
      <c r="A54" s="24" t="inlineStr">
        <is>
          <t>מספרי חובה - נתון זה הינו סיכום (חיבור) של יתרות החובה בפועל (לפי תאריכי ערך)</t>
        </is>
      </c>
    </row>
    <row r="55">
      <c r="A55" s="25" t="inlineStr">
        <is>
          <t>בתקופת החישוב לגביה מחושבת ריבית החובה במדרגה הנדונה.</t>
        </is>
      </c>
    </row>
    <row r="56">
      <c r="A56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12-600-463579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6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29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30" t="inlineStr">
        <is>
          <t>מספר חשבון 12-600-463579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8" t="inlineStr">
        <is>
          <t>תאריך</t>
        </is>
      </c>
      <c r="B6" s="31" t="inlineStr">
        <is>
          <t>קוד פעולה</t>
        </is>
      </c>
      <c r="C6" s="31" t="inlineStr">
        <is>
          <t>הפעולה</t>
        </is>
      </c>
      <c r="D6" s="31" t="inlineStr">
        <is>
          <t>פרטים</t>
        </is>
      </c>
      <c r="E6" s="31" t="inlineStr">
        <is>
          <t>אסמכתא</t>
        </is>
      </c>
      <c r="F6" s="31" t="inlineStr">
        <is>
          <t>צרור</t>
        </is>
      </c>
      <c r="G6" s="31" t="inlineStr">
        <is>
          <t>חובה</t>
        </is>
      </c>
      <c r="H6" s="31" t="inlineStr">
        <is>
          <t>זכות</t>
        </is>
      </c>
      <c r="I6" s="31" t="inlineStr">
        <is>
          <t>יתרה בש"ח</t>
        </is>
      </c>
      <c r="J6" s="28" t="inlineStr">
        <is>
          <t>מספר ימים</t>
        </is>
      </c>
      <c r="K6" s="32">
        <f>$L$2+$L$3</f>
        <v/>
      </c>
      <c r="L6" s="32">
        <f>$M$2+$L$3</f>
        <v/>
      </c>
    </row>
    <row r="7">
      <c r="A7" s="33" t="n">
        <v>46023</v>
      </c>
    </row>
    <row r="8">
      <c r="K8" s="23" t="n">
        <v>0</v>
      </c>
      <c r="L8" s="4" t="inlineStr">
        <is>
          <t>ריבית מחושבת</t>
        </is>
      </c>
    </row>
    <row r="9">
      <c r="K9" s="34">
        <f>-INT('פירוט ריבית חובה לפי PDF'!G50)</f>
        <v/>
      </c>
      <c r="L9" s="2" t="inlineStr">
        <is>
          <t>ריבית שירדה בפועל</t>
        </is>
      </c>
    </row>
    <row r="10">
      <c r="K10" s="22">
        <f>K8-K9</f>
        <v/>
      </c>
      <c r="L10" s="35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2026-03-12T12:46:19Z</dcterms:created>
  <dcterms:modified xsi:type="dcterms:W3CDTF">2026-03-12T12:46:19Z</dcterms:modified>
</cp:coreProperties>
</file>