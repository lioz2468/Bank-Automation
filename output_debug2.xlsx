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ריבית חובה לפי PDF" sheetId="1" state="visible" r:id="rId1"/>
    <sheet xmlns:r="http://schemas.openxmlformats.org/officeDocument/2006/relationships" name="בנק" sheetId="2" state="visible" r:id="rId2"/>
    <sheet xmlns:r="http://schemas.openxmlformats.org/officeDocument/2006/relationships"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46026</v>
      </c>
      <c r="B6" s="26" t="inlineStr">
        <is>
          <t>472</t>
        </is>
      </c>
      <c r="C6" s="2" t="inlineStr">
        <is>
          <t>רבית (תאריך ערך: 01/01)</t>
        </is>
      </c>
      <c r="D6" s="2" t="inlineStr"/>
      <c r="E6" s="26" t="inlineStr">
        <is>
          <t>1225</t>
        </is>
      </c>
      <c r="F6" s="26" t="inlineStr">
        <is>
          <t>0</t>
        </is>
      </c>
      <c r="G6" s="21" t="n">
        <v>245208.93</v>
      </c>
      <c r="I6" s="21" t="n">
        <v>-245208.93</v>
      </c>
      <c r="J6" s="15">
        <f>A6-A7</f>
        <v/>
      </c>
    </row>
    <row r="7">
      <c r="A7" s="29" t="n">
        <v>46022</v>
      </c>
      <c r="B7" s="26" t="inlineStr">
        <is>
          <t>469</t>
        </is>
      </c>
      <c r="C7" s="2" t="inlineStr">
        <is>
          <t>הוראת-קבע</t>
        </is>
      </c>
      <c r="D7" s="2" t="inlineStr"/>
      <c r="E7" s="26" t="inlineStr">
        <is>
          <t>600463579</t>
        </is>
      </c>
      <c r="F7" s="26" t="inlineStr">
        <is>
          <t>33333</t>
        </is>
      </c>
      <c r="G7" s="21" t="n">
        <v>2146408.29</v>
      </c>
      <c r="J7" s="15">
        <f>A7-A8</f>
        <v/>
      </c>
    </row>
    <row r="8">
      <c r="A8" s="29" t="n">
        <v>46022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808516</t>
        </is>
      </c>
      <c r="F8" s="26" t="inlineStr">
        <is>
          <t>20</t>
        </is>
      </c>
      <c r="G8" s="21" t="n">
        <v>55627.75</v>
      </c>
      <c r="I8" s="21" t="n">
        <v>2146408.29</v>
      </c>
      <c r="J8" s="15">
        <f>A8-A9</f>
        <v/>
      </c>
    </row>
    <row r="9">
      <c r="A9" s="29" t="n">
        <v>46022</v>
      </c>
      <c r="B9" s="26" t="inlineStr">
        <is>
          <t>142</t>
        </is>
      </c>
      <c r="C9" s="2" t="inlineStr">
        <is>
          <t>החלף ריבית</t>
        </is>
      </c>
      <c r="D9" s="2" t="inlineStr"/>
      <c r="E9" s="26" t="inlineStr">
        <is>
          <t>760449</t>
        </is>
      </c>
      <c r="F9" s="26" t="inlineStr">
        <is>
          <t>20</t>
        </is>
      </c>
      <c r="H9" s="21" t="n">
        <v>1654254.76</v>
      </c>
      <c r="I9" s="21" t="n">
        <v>2202036.04</v>
      </c>
      <c r="J9" s="15">
        <f>A9-A10</f>
        <v/>
      </c>
    </row>
    <row r="10">
      <c r="A10" s="29" t="n">
        <v>46022</v>
      </c>
      <c r="B10" s="26" t="inlineStr">
        <is>
          <t>142</t>
        </is>
      </c>
      <c r="C10" s="2" t="inlineStr">
        <is>
          <t>החלף ריבית</t>
        </is>
      </c>
      <c r="D10" s="2" t="inlineStr"/>
      <c r="E10" s="26" t="inlineStr">
        <is>
          <t>745619</t>
        </is>
      </c>
      <c r="F10" s="26" t="inlineStr">
        <is>
          <t>20</t>
        </is>
      </c>
      <c r="H10" s="21" t="n">
        <v>547781.28</v>
      </c>
      <c r="I10" s="21" t="n">
        <v>547781.28</v>
      </c>
      <c r="J10" s="15">
        <f>A10-A11</f>
        <v/>
      </c>
    </row>
    <row r="11">
      <c r="A11" s="29" t="n">
        <v>46021</v>
      </c>
      <c r="B11" s="26" t="inlineStr">
        <is>
          <t>452</t>
        </is>
      </c>
      <c r="C11" s="2" t="inlineStr">
        <is>
          <t>החלף ריבית</t>
        </is>
      </c>
      <c r="D11" s="2" t="inlineStr"/>
      <c r="E11" s="26" t="inlineStr">
        <is>
          <t>786124</t>
        </is>
      </c>
      <c r="F11" s="26" t="inlineStr">
        <is>
          <t>20</t>
        </is>
      </c>
      <c r="G11" s="21" t="n">
        <v>464423.26</v>
      </c>
      <c r="J11" s="15">
        <f>A11-A12</f>
        <v/>
      </c>
    </row>
    <row r="12">
      <c r="A12" s="29" t="n">
        <v>46021</v>
      </c>
      <c r="B12" s="26" t="inlineStr">
        <is>
          <t>452</t>
        </is>
      </c>
      <c r="C12" s="2" t="inlineStr">
        <is>
          <t>החלף ריבית</t>
        </is>
      </c>
      <c r="D12" s="2" t="inlineStr"/>
      <c r="E12" s="26" t="inlineStr">
        <is>
          <t>783899</t>
        </is>
      </c>
      <c r="F12" s="26" t="inlineStr">
        <is>
          <t>20</t>
        </is>
      </c>
      <c r="G12" s="21" t="n">
        <v>1658654.51</v>
      </c>
      <c r="I12" s="21" t="n">
        <v>464423.26</v>
      </c>
      <c r="J12" s="15">
        <f>A12-A13</f>
        <v/>
      </c>
    </row>
    <row r="13">
      <c r="A13" s="29" t="n">
        <v>46021</v>
      </c>
      <c r="B13" s="26" t="inlineStr">
        <is>
          <t>469</t>
        </is>
      </c>
      <c r="C13" s="2" t="inlineStr">
        <is>
          <t>הוראת-קבע</t>
        </is>
      </c>
      <c r="D13" s="2" t="inlineStr"/>
      <c r="E13" s="26" t="inlineStr">
        <is>
          <t>600463579</t>
        </is>
      </c>
      <c r="F13" s="26" t="inlineStr">
        <is>
          <t>33333</t>
        </is>
      </c>
      <c r="G13" s="21" t="n">
        <v>-2123077.77</v>
      </c>
      <c r="I13" s="21" t="n">
        <v>2123077.77</v>
      </c>
      <c r="J13" s="15">
        <f>A13-A14</f>
        <v/>
      </c>
    </row>
    <row r="14">
      <c r="A14" s="29" t="n">
        <v>45981</v>
      </c>
      <c r="B14" s="26" t="inlineStr">
        <is>
          <t>469</t>
        </is>
      </c>
      <c r="C14" s="2" t="inlineStr">
        <is>
          <t>הוראת-קבע</t>
        </is>
      </c>
      <c r="D14" s="2" t="inlineStr"/>
      <c r="E14" s="26" t="inlineStr">
        <is>
          <t>600463579</t>
        </is>
      </c>
      <c r="F14" s="26" t="inlineStr">
        <is>
          <t>33333</t>
        </is>
      </c>
      <c r="G14" s="21" t="n">
        <v>-987784.48</v>
      </c>
      <c r="J14" s="15">
        <f>A14-A15</f>
        <v/>
      </c>
    </row>
    <row r="15">
      <c r="A15" s="29" t="n">
        <v>45973</v>
      </c>
      <c r="B15" s="26" t="inlineStr">
        <is>
          <t>142</t>
        </is>
      </c>
      <c r="C15" s="2" t="inlineStr">
        <is>
          <t>פורוורד שקל</t>
        </is>
      </c>
      <c r="D15" s="2" t="inlineStr"/>
      <c r="E15" s="26" t="inlineStr">
        <is>
          <t>4430240</t>
        </is>
      </c>
      <c r="F15" s="26" t="inlineStr">
        <is>
          <t>6</t>
        </is>
      </c>
      <c r="H15" s="21" t="n">
        <v>159389620.24</v>
      </c>
      <c r="I15" s="21" t="n">
        <v>-987784.48</v>
      </c>
      <c r="J15" s="15">
        <f>A15-A16</f>
        <v/>
      </c>
    </row>
    <row r="16">
      <c r="A16" s="29" t="n">
        <v>45968</v>
      </c>
      <c r="B16" s="26" t="inlineStr">
        <is>
          <t>142</t>
        </is>
      </c>
      <c r="C16" s="2" t="inlineStr">
        <is>
          <t>ספוט שקל</t>
        </is>
      </c>
      <c r="D16" s="2" t="inlineStr"/>
      <c r="E16" s="26" t="inlineStr">
        <is>
          <t>4441104</t>
        </is>
      </c>
      <c r="F16" s="26" t="inlineStr">
        <is>
          <t>4</t>
        </is>
      </c>
      <c r="H16" s="21" t="n">
        <v>86033735.28</v>
      </c>
      <c r="I16" s="21" t="n">
        <v>-160377404.72</v>
      </c>
      <c r="J16" s="15">
        <f>A16-A17</f>
        <v/>
      </c>
    </row>
    <row r="17">
      <c r="A17" s="29" t="n">
        <v>45967</v>
      </c>
      <c r="B17" s="26" t="inlineStr">
        <is>
          <t>452</t>
        </is>
      </c>
      <c r="C17" s="2" t="inlineStr">
        <is>
          <t>רכישה</t>
        </is>
      </c>
      <c r="D17" s="2" t="inlineStr"/>
      <c r="E17" s="26" t="inlineStr">
        <is>
          <t>4441103</t>
        </is>
      </c>
      <c r="F17" s="26" t="inlineStr">
        <is>
          <t>2</t>
        </is>
      </c>
      <c r="G17" s="21" t="n">
        <v>86034000</v>
      </c>
      <c r="I17" s="21" t="n">
        <v>-246411140</v>
      </c>
      <c r="J17" s="15">
        <f>A17-A18</f>
        <v/>
      </c>
    </row>
    <row r="18">
      <c r="A18" s="29" t="n">
        <v>45967</v>
      </c>
      <c r="B18" s="26" t="inlineStr">
        <is>
          <t>452</t>
        </is>
      </c>
      <c r="C18" s="2" t="inlineStr">
        <is>
          <t>ספוט שקל</t>
        </is>
      </c>
      <c r="D18" s="2" t="inlineStr"/>
      <c r="E18" s="26" t="inlineStr">
        <is>
          <t>4436494</t>
        </is>
      </c>
      <c r="F18" s="26" t="inlineStr">
        <is>
          <t>4</t>
        </is>
      </c>
      <c r="G18" s="21" t="n">
        <v>160377140</v>
      </c>
      <c r="I18" s="21" t="n">
        <v>-160377140</v>
      </c>
      <c r="J18" s="15">
        <f>A18-A19</f>
        <v/>
      </c>
    </row>
    <row r="19">
      <c r="A19" s="29" t="n">
        <v>45966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996837.6</v>
      </c>
      <c r="J19" s="15">
        <f>A19-A20</f>
        <v/>
      </c>
    </row>
    <row r="20">
      <c r="A20" s="29" t="n">
        <v>45966</v>
      </c>
      <c r="B20" s="26" t="inlineStr">
        <is>
          <t>452</t>
        </is>
      </c>
      <c r="C20" s="2" t="inlineStr">
        <is>
          <t>ספוט שקל</t>
        </is>
      </c>
      <c r="D20" s="2" t="inlineStr"/>
      <c r="E20" s="26" t="inlineStr">
        <is>
          <t>4430239</t>
        </is>
      </c>
      <c r="F20" s="26" t="inlineStr">
        <is>
          <t>4</t>
        </is>
      </c>
      <c r="G20" s="21" t="n">
        <v>159380793</v>
      </c>
      <c r="I20" s="21" t="n">
        <v>996837.6</v>
      </c>
      <c r="J20" s="15">
        <f>A20-A21</f>
        <v/>
      </c>
    </row>
    <row r="21">
      <c r="A21" s="29" t="n">
        <v>45966</v>
      </c>
      <c r="B21" s="26" t="inlineStr">
        <is>
          <t>142</t>
        </is>
      </c>
      <c r="C21" s="2" t="inlineStr">
        <is>
          <t>המרה</t>
        </is>
      </c>
      <c r="D21" s="2" t="inlineStr"/>
      <c r="E21" s="26" t="inlineStr">
        <is>
          <t>4436493</t>
        </is>
      </c>
      <c r="F21" s="26" t="inlineStr">
        <is>
          <t>1</t>
        </is>
      </c>
      <c r="H21" s="21" t="n">
        <v>160377630.6</v>
      </c>
      <c r="I21" s="21" t="n">
        <v>160377630.6</v>
      </c>
      <c r="J21" s="15">
        <f>A21-A22</f>
        <v/>
      </c>
    </row>
    <row r="22">
      <c r="A22" s="29" t="n">
        <v>45965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8827.25</v>
      </c>
      <c r="J22" s="15">
        <f>A22-A23</f>
        <v/>
      </c>
    </row>
    <row r="23">
      <c r="A23" s="29" t="n">
        <v>45965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4427953</t>
        </is>
      </c>
      <c r="F23" s="26" t="inlineStr">
        <is>
          <t>4</t>
        </is>
      </c>
      <c r="H23" s="21" t="n">
        <v>159389620.41</v>
      </c>
      <c r="I23" s="21" t="n">
        <v>8827.25</v>
      </c>
      <c r="J23" s="15">
        <f>A23-A24</f>
        <v/>
      </c>
    </row>
    <row r="24">
      <c r="A24" s="29" t="n">
        <v>45961</v>
      </c>
      <c r="B24" s="26" t="inlineStr">
        <is>
          <t>452</t>
        </is>
      </c>
      <c r="C24" s="2" t="inlineStr">
        <is>
          <t>רכישה</t>
        </is>
      </c>
      <c r="D24" s="2" t="inlineStr"/>
      <c r="E24" s="26" t="inlineStr">
        <is>
          <t>4427952</t>
        </is>
      </c>
      <c r="F24" s="26" t="inlineStr">
        <is>
          <t>2</t>
        </is>
      </c>
      <c r="G24" s="21" t="n">
        <v>159380793.16</v>
      </c>
      <c r="I24" s="21" t="n">
        <v>-159380793.16</v>
      </c>
      <c r="J24" s="15">
        <f>A24-A25</f>
        <v/>
      </c>
    </row>
    <row r="25">
      <c r="A25" s="29" t="n">
        <v>45952</v>
      </c>
      <c r="B25" s="26" t="inlineStr">
        <is>
          <t>469</t>
        </is>
      </c>
      <c r="C25" s="2" t="inlineStr">
        <is>
          <t>הוראת-קבע</t>
        </is>
      </c>
      <c r="D25" s="2" t="inlineStr"/>
      <c r="E25" s="26" t="inlineStr">
        <is>
          <t>600463579</t>
        </is>
      </c>
      <c r="F25" s="26" t="inlineStr">
        <is>
          <t>33333</t>
        </is>
      </c>
      <c r="G25" s="21" t="n">
        <v>-2288234.4</v>
      </c>
      <c r="J25" s="15">
        <f>A25-A26</f>
        <v/>
      </c>
    </row>
    <row r="26">
      <c r="A26" s="29" t="n">
        <v>45951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4402763</t>
        </is>
      </c>
      <c r="F26" s="26" t="inlineStr">
        <is>
          <t>4</t>
        </is>
      </c>
      <c r="H26" s="21" t="n">
        <v>26266620.93</v>
      </c>
      <c r="I26" s="21" t="n">
        <v>-2288234.4</v>
      </c>
      <c r="J26" s="15">
        <f>A26-A27</f>
        <v/>
      </c>
    </row>
    <row r="27">
      <c r="A27" s="29" t="n">
        <v>45950</v>
      </c>
      <c r="B27" s="26" t="inlineStr">
        <is>
          <t>471</t>
        </is>
      </c>
      <c r="C27" s="2" t="inlineStr">
        <is>
          <t>ניע עמלת העברה</t>
        </is>
      </c>
      <c r="D27" s="2" t="inlineStr"/>
      <c r="E27" s="26" t="inlineStr">
        <is>
          <t>72985955</t>
        </is>
      </c>
      <c r="F27" s="26" t="inlineStr">
        <is>
          <t>1080</t>
        </is>
      </c>
      <c r="G27" s="21" t="n">
        <v>5</v>
      </c>
      <c r="I27" s="21" t="n">
        <v>-28554855.33</v>
      </c>
      <c r="J27" s="15">
        <f>A27-A28</f>
        <v/>
      </c>
    </row>
    <row r="28">
      <c r="A28" s="29" t="n">
        <v>45950</v>
      </c>
      <c r="B28" s="26" t="inlineStr">
        <is>
          <t>452</t>
        </is>
      </c>
      <c r="C28" s="2" t="inlineStr">
        <is>
          <t>רכישה</t>
        </is>
      </c>
      <c r="D28" s="2" t="inlineStr"/>
      <c r="E28" s="26" t="inlineStr">
        <is>
          <t>4402762</t>
        </is>
      </c>
      <c r="F28" s="26" t="inlineStr">
        <is>
          <t>2</t>
        </is>
      </c>
      <c r="G28" s="21" t="n">
        <v>26266700.29</v>
      </c>
      <c r="I28" s="21" t="n">
        <v>-28554850.33</v>
      </c>
      <c r="J28" s="15">
        <f>A28-A29</f>
        <v/>
      </c>
    </row>
    <row r="29">
      <c r="A29" s="29" t="n">
        <v>45950</v>
      </c>
      <c r="B29" s="26" t="inlineStr">
        <is>
          <t>142</t>
        </is>
      </c>
      <c r="C29" s="2" t="inlineStr">
        <is>
          <t>ספוט שקל</t>
        </is>
      </c>
      <c r="D29" s="2" t="inlineStr"/>
      <c r="E29" s="26" t="inlineStr">
        <is>
          <t>4400404</t>
        </is>
      </c>
      <c r="F29" s="26" t="inlineStr">
        <is>
          <t>4</t>
        </is>
      </c>
      <c r="H29" s="21" t="n">
        <v>26369707.17</v>
      </c>
      <c r="I29" s="21" t="n">
        <v>-2288150.04</v>
      </c>
      <c r="J29" s="15">
        <f>A29-A30</f>
        <v/>
      </c>
    </row>
    <row r="30">
      <c r="A30" s="29" t="n">
        <v>45947</v>
      </c>
      <c r="B30" s="26" t="inlineStr">
        <is>
          <t>452</t>
        </is>
      </c>
      <c r="C30" s="2" t="inlineStr">
        <is>
          <t>רכישה</t>
        </is>
      </c>
      <c r="D30" s="2" t="inlineStr"/>
      <c r="E30" s="26" t="inlineStr">
        <is>
          <t>4400403</t>
        </is>
      </c>
      <c r="F30" s="26" t="inlineStr">
        <is>
          <t>2</t>
        </is>
      </c>
      <c r="G30" s="21" t="n">
        <v>26369865.88</v>
      </c>
      <c r="I30" s="21" t="n">
        <v>-28657857.21</v>
      </c>
      <c r="J30" s="15">
        <f>A30-A31</f>
        <v/>
      </c>
    </row>
    <row r="31">
      <c r="A31" s="29" t="n">
        <v>45940</v>
      </c>
      <c r="B31" s="26" t="inlineStr">
        <is>
          <t>452</t>
        </is>
      </c>
      <c r="C31" s="2" t="inlineStr">
        <is>
          <t>ספוט שקל</t>
        </is>
      </c>
      <c r="D31" s="2" t="inlineStr"/>
      <c r="E31" s="26" t="inlineStr">
        <is>
          <t>4384156</t>
        </is>
      </c>
      <c r="F31" s="26" t="inlineStr">
        <is>
          <t>4</t>
        </is>
      </c>
      <c r="G31" s="21" t="n">
        <v>2287991.33</v>
      </c>
      <c r="I31" s="21" t="n">
        <v>-2287991.33</v>
      </c>
      <c r="J31" s="15">
        <f>A31-A32</f>
        <v/>
      </c>
    </row>
    <row r="32">
      <c r="A32" s="29" t="n">
        <v>45938</v>
      </c>
      <c r="B32" s="26" t="inlineStr">
        <is>
          <t>469</t>
        </is>
      </c>
      <c r="C32" s="2" t="inlineStr">
        <is>
          <t>הוראת-קבע</t>
        </is>
      </c>
      <c r="D32" s="2" t="inlineStr"/>
      <c r="E32" s="26" t="inlineStr">
        <is>
          <t>600463579</t>
        </is>
      </c>
      <c r="F32" s="26" t="inlineStr">
        <is>
          <t>33333</t>
        </is>
      </c>
      <c r="G32" s="21" t="n">
        <v>224436.59</v>
      </c>
      <c r="J32" s="15">
        <f>A32-A33</f>
        <v/>
      </c>
    </row>
    <row r="33">
      <c r="A33" s="29" t="n">
        <v>45938</v>
      </c>
      <c r="B33" s="26" t="inlineStr">
        <is>
          <t>452</t>
        </is>
      </c>
      <c r="C33" s="2" t="inlineStr">
        <is>
          <t>החלף מטבע</t>
        </is>
      </c>
      <c r="D33" s="2" t="inlineStr"/>
      <c r="E33" s="26" t="inlineStr">
        <is>
          <t>744881</t>
        </is>
      </c>
      <c r="F33" s="26" t="inlineStr">
        <is>
          <t>22</t>
        </is>
      </c>
      <c r="G33" s="21" t="n">
        <v>2063496.24</v>
      </c>
      <c r="I33" s="21" t="n">
        <v>224436.59</v>
      </c>
      <c r="J33" s="15">
        <f>A33-A34</f>
        <v/>
      </c>
    </row>
    <row r="34">
      <c r="A34" s="29" t="n">
        <v>45938</v>
      </c>
      <c r="B34" s="26" t="inlineStr">
        <is>
          <t>142</t>
        </is>
      </c>
      <c r="C34" s="2" t="inlineStr">
        <is>
          <t>המרה</t>
        </is>
      </c>
      <c r="D34" s="2" t="inlineStr"/>
      <c r="E34" s="26" t="inlineStr">
        <is>
          <t>4384155</t>
        </is>
      </c>
      <c r="F34" s="26" t="inlineStr">
        <is>
          <t>1</t>
        </is>
      </c>
      <c r="H34" s="21" t="n">
        <v>2287956.51</v>
      </c>
      <c r="I34" s="21" t="n">
        <v>2287932.83</v>
      </c>
      <c r="J34" s="15">
        <f>A34-A35</f>
        <v/>
      </c>
    </row>
    <row r="35">
      <c r="A35" s="29" t="n">
        <v>45936</v>
      </c>
      <c r="B35" s="26" t="inlineStr">
        <is>
          <t>472</t>
        </is>
      </c>
      <c r="C35" s="2" t="inlineStr">
        <is>
          <t>רבית (תאריך ערך: 03/10)</t>
        </is>
      </c>
      <c r="D35" s="2" t="inlineStr"/>
      <c r="E35" s="26" t="inlineStr">
        <is>
          <t>925</t>
        </is>
      </c>
      <c r="F35" s="26" t="inlineStr">
        <is>
          <t>0</t>
        </is>
      </c>
      <c r="G35" s="21" t="n">
        <v>23.68</v>
      </c>
      <c r="I35" s="21" t="n">
        <v>-23.68</v>
      </c>
      <c r="J35" s="15">
        <f>A35-A36</f>
        <v/>
      </c>
    </row>
    <row r="36">
      <c r="A36" s="29" t="n">
        <v>45930</v>
      </c>
      <c r="B36" s="26" t="inlineStr">
        <is>
          <t>469</t>
        </is>
      </c>
      <c r="C36" s="2" t="inlineStr">
        <is>
          <t>הוראת-קבע</t>
        </is>
      </c>
      <c r="D36" s="2" t="inlineStr"/>
      <c r="E36" s="26" t="inlineStr">
        <is>
          <t>600463579</t>
        </is>
      </c>
      <c r="F36" s="26" t="inlineStr">
        <is>
          <t>33333</t>
        </is>
      </c>
      <c r="G36" s="21" t="n">
        <v>230530.78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P3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6" customWidth="1" min="10" max="10"/>
    <col width="18" customWidth="1" min="11" max="11"/>
    <col width="8" customWidth="1" min="12" max="12"/>
    <col width="14" customWidth="1" min="13" max="13"/>
    <col width="14" customWidth="1" min="14" max="14"/>
    <col width="16" customWidth="1" min="15" max="15"/>
    <col width="18" customWidth="1" min="16" max="16"/>
  </cols>
  <sheetData>
    <row r="3">
      <c r="A3" s="4" t="inlineStr">
        <is>
          <t>תנועות בחשבון</t>
        </is>
      </c>
      <c r="J3" s="3" t="inlineStr">
        <is>
          <t>תיאום</t>
        </is>
      </c>
      <c r="K3" s="3" t="inlineStr">
        <is>
          <t>יתרה מתואמת</t>
        </is>
      </c>
      <c r="M3" s="5" t="n">
        <v>0.0485</v>
      </c>
      <c r="N3" s="5" t="n">
        <v>0.046</v>
      </c>
    </row>
    <row r="4">
      <c r="A4" s="29" t="n">
        <v>46022</v>
      </c>
      <c r="B4" s="26" t="inlineStr">
        <is>
          <t>469</t>
        </is>
      </c>
      <c r="C4" s="2" t="inlineStr">
        <is>
          <t>הוראת-קבע</t>
        </is>
      </c>
      <c r="D4" s="2" t="inlineStr"/>
      <c r="E4" s="26" t="inlineStr">
        <is>
          <t>600463579</t>
        </is>
      </c>
      <c r="F4" s="26" t="inlineStr">
        <is>
          <t>33333</t>
        </is>
      </c>
      <c r="G4" s="21" t="n">
        <v>2146408.29</v>
      </c>
      <c r="L4" s="15" t="n">
        <v>1</v>
      </c>
      <c r="N4" s="20">
        <f>IF(AND(L4&gt;0,I4&lt;0),I4/365*L4*$N$3,"")</f>
        <v/>
      </c>
    </row>
    <row r="5">
      <c r="A5" s="29" t="n">
        <v>46022</v>
      </c>
      <c r="B5" s="26" t="inlineStr">
        <is>
          <t>452</t>
        </is>
      </c>
      <c r="C5" s="2" t="inlineStr">
        <is>
          <t>החלף ריבית</t>
        </is>
      </c>
      <c r="D5" s="2" t="inlineStr"/>
      <c r="E5" s="26" t="inlineStr">
        <is>
          <t>808516</t>
        </is>
      </c>
      <c r="F5" s="26" t="inlineStr">
        <is>
          <t>20</t>
        </is>
      </c>
      <c r="G5" s="21" t="n">
        <v>55627.75</v>
      </c>
      <c r="I5" s="21" t="n">
        <v>2146408.29</v>
      </c>
      <c r="L5" s="15">
        <f>A4-A5</f>
        <v/>
      </c>
      <c r="N5" s="20">
        <f>IF(AND(L5&gt;0,I5&lt;0),I5/365*L5*$N$3,"")</f>
        <v/>
      </c>
    </row>
    <row r="6">
      <c r="A6" s="29" t="n">
        <v>46022</v>
      </c>
      <c r="B6" s="26" t="inlineStr">
        <is>
          <t>142</t>
        </is>
      </c>
      <c r="C6" s="2" t="inlineStr">
        <is>
          <t>החלף ריבית</t>
        </is>
      </c>
      <c r="D6" s="2" t="inlineStr"/>
      <c r="E6" s="26" t="inlineStr">
        <is>
          <t>760449</t>
        </is>
      </c>
      <c r="F6" s="26" t="inlineStr">
        <is>
          <t>20</t>
        </is>
      </c>
      <c r="H6" s="21" t="n">
        <v>1654254.76</v>
      </c>
      <c r="I6" s="21" t="n">
        <v>2202036.04</v>
      </c>
      <c r="L6" s="15">
        <f>A5-A6</f>
        <v/>
      </c>
      <c r="N6" s="20">
        <f>IF(AND(L6&gt;0,I6&lt;0),I6/365*L6*$N$3,"")</f>
        <v/>
      </c>
    </row>
    <row r="7">
      <c r="A7" s="29" t="n">
        <v>46022</v>
      </c>
      <c r="B7" s="26" t="inlineStr">
        <is>
          <t>142</t>
        </is>
      </c>
      <c r="C7" s="2" t="inlineStr">
        <is>
          <t>החלף ריבית</t>
        </is>
      </c>
      <c r="D7" s="2" t="inlineStr"/>
      <c r="E7" s="26" t="inlineStr">
        <is>
          <t>745619</t>
        </is>
      </c>
      <c r="F7" s="26" t="inlineStr">
        <is>
          <t>20</t>
        </is>
      </c>
      <c r="H7" s="21" t="n">
        <v>547781.28</v>
      </c>
      <c r="I7" s="21" t="n">
        <v>547781.28</v>
      </c>
      <c r="L7" s="15">
        <f>A6-A7</f>
        <v/>
      </c>
      <c r="N7" s="20">
        <f>IF(AND(L7&gt;0,I7&lt;0),I7/365*L7*$N$3,"")</f>
        <v/>
      </c>
    </row>
    <row r="8">
      <c r="A8" s="29" t="n">
        <v>46021</v>
      </c>
      <c r="B8" s="26" t="inlineStr">
        <is>
          <t>452</t>
        </is>
      </c>
      <c r="C8" s="2" t="inlineStr">
        <is>
          <t>החלף ריבית</t>
        </is>
      </c>
      <c r="D8" s="2" t="inlineStr"/>
      <c r="E8" s="26" t="inlineStr">
        <is>
          <t>786124</t>
        </is>
      </c>
      <c r="F8" s="26" t="inlineStr">
        <is>
          <t>20</t>
        </is>
      </c>
      <c r="G8" s="21" t="n">
        <v>464423.26</v>
      </c>
      <c r="L8" s="15">
        <f>A7-A8</f>
        <v/>
      </c>
      <c r="N8" s="20">
        <f>IF(AND(L8&gt;0,I8&lt;0),I8/365*L8*$N$3,"")</f>
        <v/>
      </c>
    </row>
    <row r="9">
      <c r="A9" s="29" t="n">
        <v>46021</v>
      </c>
      <c r="B9" s="26" t="inlineStr">
        <is>
          <t>452</t>
        </is>
      </c>
      <c r="C9" s="2" t="inlineStr">
        <is>
          <t>החלף ריבית</t>
        </is>
      </c>
      <c r="D9" s="2" t="inlineStr"/>
      <c r="E9" s="26" t="inlineStr">
        <is>
          <t>783899</t>
        </is>
      </c>
      <c r="F9" s="26" t="inlineStr">
        <is>
          <t>20</t>
        </is>
      </c>
      <c r="G9" s="21" t="n">
        <v>1658654.51</v>
      </c>
      <c r="I9" s="21" t="n">
        <v>464423.26</v>
      </c>
      <c r="L9" s="15">
        <f>A8-A9</f>
        <v/>
      </c>
      <c r="N9" s="20">
        <f>IF(AND(L9&gt;0,I9&lt;0),I9/365*L9*$N$3,"")</f>
        <v/>
      </c>
    </row>
    <row r="10">
      <c r="A10" s="29" t="n">
        <v>46021</v>
      </c>
      <c r="B10" s="26" t="inlineStr">
        <is>
          <t>469</t>
        </is>
      </c>
      <c r="C10" s="2" t="inlineStr">
        <is>
          <t>הוראת-קבע</t>
        </is>
      </c>
      <c r="D10" s="2" t="inlineStr"/>
      <c r="E10" s="26" t="inlineStr">
        <is>
          <t>600463579</t>
        </is>
      </c>
      <c r="F10" s="26" t="inlineStr">
        <is>
          <t>33333</t>
        </is>
      </c>
      <c r="G10" s="21" t="n">
        <v>-2123077.77</v>
      </c>
      <c r="I10" s="21" t="n">
        <v>2123077.77</v>
      </c>
      <c r="L10" s="15">
        <f>A9-A10</f>
        <v/>
      </c>
      <c r="N10" s="20">
        <f>IF(AND(L10&gt;0,I10&lt;0),I10/365*L10*$N$3,"")</f>
        <v/>
      </c>
    </row>
    <row r="11">
      <c r="A11" s="29" t="n">
        <v>45981</v>
      </c>
      <c r="B11" s="26" t="inlineStr">
        <is>
          <t>469</t>
        </is>
      </c>
      <c r="C11" s="2" t="inlineStr">
        <is>
          <t>הוראת-קבע</t>
        </is>
      </c>
      <c r="D11" s="2" t="inlineStr"/>
      <c r="E11" s="26" t="inlineStr">
        <is>
          <t>600463579</t>
        </is>
      </c>
      <c r="F11" s="26" t="inlineStr">
        <is>
          <t>33333</t>
        </is>
      </c>
      <c r="G11" s="21" t="n">
        <v>-987784.48</v>
      </c>
      <c r="L11" s="15">
        <f>A10-A11</f>
        <v/>
      </c>
      <c r="M11" s="20">
        <f>IF(AND(L11&gt;0,I11&lt;0),I11/365*L11*$M$3,"")</f>
        <v/>
      </c>
    </row>
    <row r="12">
      <c r="A12" s="29" t="n">
        <v>45973</v>
      </c>
      <c r="B12" s="26" t="inlineStr">
        <is>
          <t>142</t>
        </is>
      </c>
      <c r="C12" s="2" t="inlineStr">
        <is>
          <t>פורוורד שקל</t>
        </is>
      </c>
      <c r="D12" s="2" t="inlineStr"/>
      <c r="E12" s="26" t="inlineStr">
        <is>
          <t>4430240</t>
        </is>
      </c>
      <c r="F12" s="26" t="inlineStr">
        <is>
          <t>6</t>
        </is>
      </c>
      <c r="H12" s="21" t="n">
        <v>159389620.24</v>
      </c>
      <c r="I12" s="21" t="n">
        <v>-987784.48</v>
      </c>
      <c r="L12" s="15">
        <f>A11-A12</f>
        <v/>
      </c>
      <c r="M12" s="20">
        <f>IF(AND(L12&gt;0,I12&lt;0),I12/365*L12*$M$3,"")</f>
        <v/>
      </c>
    </row>
    <row r="13">
      <c r="A13" s="29" t="n">
        <v>45968</v>
      </c>
      <c r="B13" s="26" t="inlineStr">
        <is>
          <t>142</t>
        </is>
      </c>
      <c r="C13" s="2" t="inlineStr">
        <is>
          <t>ספוט שקל</t>
        </is>
      </c>
      <c r="D13" s="2" t="inlineStr"/>
      <c r="E13" s="26" t="inlineStr">
        <is>
          <t>4441104</t>
        </is>
      </c>
      <c r="F13" s="26" t="inlineStr">
        <is>
          <t>4</t>
        </is>
      </c>
      <c r="H13" s="21" t="n">
        <v>86033735.28</v>
      </c>
      <c r="I13" s="21" t="n">
        <v>-160377404.72</v>
      </c>
      <c r="L13" s="15">
        <f>A12-A13</f>
        <v/>
      </c>
      <c r="M13" s="20">
        <f>IF(AND(L13&gt;0,I13&lt;0),I13/365*L13*$M$3,"")</f>
        <v/>
      </c>
    </row>
    <row r="14">
      <c r="A14" s="29" t="n">
        <v>45967</v>
      </c>
      <c r="B14" s="26" t="inlineStr">
        <is>
          <t>452</t>
        </is>
      </c>
      <c r="C14" s="2" t="inlineStr">
        <is>
          <t>רכישה</t>
        </is>
      </c>
      <c r="D14" s="2" t="inlineStr"/>
      <c r="E14" s="26" t="inlineStr">
        <is>
          <t>4441103</t>
        </is>
      </c>
      <c r="F14" s="26" t="inlineStr">
        <is>
          <t>2</t>
        </is>
      </c>
      <c r="G14" s="21" t="n">
        <v>86034000</v>
      </c>
      <c r="I14" s="21" t="n">
        <v>-246411140</v>
      </c>
      <c r="L14" s="15">
        <f>A13-A14</f>
        <v/>
      </c>
      <c r="M14" s="20">
        <f>IF(AND(L14&gt;0,I14&lt;0),I14/365*L14*$M$3,"")</f>
        <v/>
      </c>
    </row>
    <row r="15">
      <c r="A15" s="29" t="n">
        <v>45967</v>
      </c>
      <c r="B15" s="26" t="inlineStr">
        <is>
          <t>452</t>
        </is>
      </c>
      <c r="C15" s="2" t="inlineStr">
        <is>
          <t>ספוט שקל</t>
        </is>
      </c>
      <c r="D15" s="2" t="inlineStr"/>
      <c r="E15" s="26" t="inlineStr">
        <is>
          <t>4436494</t>
        </is>
      </c>
      <c r="F15" s="26" t="inlineStr">
        <is>
          <t>4</t>
        </is>
      </c>
      <c r="G15" s="21" t="n">
        <v>160377140</v>
      </c>
      <c r="I15" s="21" t="n">
        <v>-160377140</v>
      </c>
      <c r="L15" s="15">
        <f>A14-A15</f>
        <v/>
      </c>
      <c r="M15" s="20">
        <f>IF(AND(L15&gt;0,I15&lt;0),I15/365*L15*$M$3,"")</f>
        <v/>
      </c>
    </row>
    <row r="16">
      <c r="A16" s="29" t="n">
        <v>45966</v>
      </c>
      <c r="B16" s="26" t="inlineStr">
        <is>
          <t>469</t>
        </is>
      </c>
      <c r="C16" s="2" t="inlineStr">
        <is>
          <t>הוראת-קבע</t>
        </is>
      </c>
      <c r="D16" s="2" t="inlineStr"/>
      <c r="E16" s="26" t="inlineStr">
        <is>
          <t>600463579</t>
        </is>
      </c>
      <c r="F16" s="26" t="inlineStr">
        <is>
          <t>33333</t>
        </is>
      </c>
      <c r="G16" s="21" t="n">
        <v>996837.6</v>
      </c>
      <c r="L16" s="15">
        <f>A15-A16</f>
        <v/>
      </c>
      <c r="M16" s="20">
        <f>IF(AND(L16&gt;0,I16&lt;0),I16/365*L16*$M$3,"")</f>
        <v/>
      </c>
    </row>
    <row r="17">
      <c r="A17" s="29" t="n">
        <v>45966</v>
      </c>
      <c r="B17" s="26" t="inlineStr">
        <is>
          <t>452</t>
        </is>
      </c>
      <c r="C17" s="2" t="inlineStr">
        <is>
          <t>ספוט שקל</t>
        </is>
      </c>
      <c r="D17" s="2" t="inlineStr"/>
      <c r="E17" s="26" t="inlineStr">
        <is>
          <t>4430239</t>
        </is>
      </c>
      <c r="F17" s="26" t="inlineStr">
        <is>
          <t>4</t>
        </is>
      </c>
      <c r="G17" s="21" t="n">
        <v>159380793</v>
      </c>
      <c r="I17" s="21" t="n">
        <v>996837.6</v>
      </c>
      <c r="L17" s="15">
        <f>A16-A17</f>
        <v/>
      </c>
      <c r="M17" s="20">
        <f>IF(AND(L17&gt;0,I17&lt;0),I17/365*L17*$M$3,"")</f>
        <v/>
      </c>
    </row>
    <row r="18">
      <c r="A18" s="29" t="n">
        <v>45966</v>
      </c>
      <c r="B18" s="26" t="inlineStr">
        <is>
          <t>142</t>
        </is>
      </c>
      <c r="C18" s="2" t="inlineStr">
        <is>
          <t>המרה</t>
        </is>
      </c>
      <c r="D18" s="2" t="inlineStr"/>
      <c r="E18" s="26" t="inlineStr">
        <is>
          <t>4436493</t>
        </is>
      </c>
      <c r="F18" s="26" t="inlineStr">
        <is>
          <t>1</t>
        </is>
      </c>
      <c r="H18" s="21" t="n">
        <v>160377630.6</v>
      </c>
      <c r="I18" s="21" t="n">
        <v>160377630.6</v>
      </c>
      <c r="L18" s="15">
        <f>A17-A18</f>
        <v/>
      </c>
      <c r="M18" s="20">
        <f>IF(AND(L18&gt;0,I18&lt;0),I18/365*L18*$M$3,"")</f>
        <v/>
      </c>
    </row>
    <row r="19">
      <c r="A19" s="29" t="n">
        <v>45965</v>
      </c>
      <c r="B19" s="26" t="inlineStr">
        <is>
          <t>469</t>
        </is>
      </c>
      <c r="C19" s="2" t="inlineStr">
        <is>
          <t>הוראת-קבע</t>
        </is>
      </c>
      <c r="D19" s="2" t="inlineStr"/>
      <c r="E19" s="26" t="inlineStr">
        <is>
          <t>600463579</t>
        </is>
      </c>
      <c r="F19" s="26" t="inlineStr">
        <is>
          <t>33333</t>
        </is>
      </c>
      <c r="G19" s="21" t="n">
        <v>8827.25</v>
      </c>
      <c r="L19" s="15">
        <f>A18-A19</f>
        <v/>
      </c>
      <c r="M19" s="20">
        <f>IF(AND(L19&gt;0,I19&lt;0),I19/365*L19*$M$3,"")</f>
        <v/>
      </c>
    </row>
    <row r="20">
      <c r="A20" s="29" t="n">
        <v>45965</v>
      </c>
      <c r="B20" s="26" t="inlineStr">
        <is>
          <t>142</t>
        </is>
      </c>
      <c r="C20" s="2" t="inlineStr">
        <is>
          <t>ספוט שקל</t>
        </is>
      </c>
      <c r="D20" s="2" t="inlineStr"/>
      <c r="E20" s="26" t="inlineStr">
        <is>
          <t>4427953</t>
        </is>
      </c>
      <c r="F20" s="26" t="inlineStr">
        <is>
          <t>4</t>
        </is>
      </c>
      <c r="H20" s="21" t="n">
        <v>159389620.41</v>
      </c>
      <c r="I20" s="21" t="n">
        <v>8827.25</v>
      </c>
      <c r="L20" s="15">
        <f>A19-A20</f>
        <v/>
      </c>
      <c r="M20" s="20">
        <f>IF(AND(L20&gt;0,I20&lt;0),I20/365*L20*$M$3,"")</f>
        <v/>
      </c>
    </row>
    <row r="21">
      <c r="A21" s="29" t="n">
        <v>45961</v>
      </c>
      <c r="B21" s="26" t="inlineStr">
        <is>
          <t>452</t>
        </is>
      </c>
      <c r="C21" s="2" t="inlineStr">
        <is>
          <t>רכישה</t>
        </is>
      </c>
      <c r="D21" s="2" t="inlineStr"/>
      <c r="E21" s="26" t="inlineStr">
        <is>
          <t>4427952</t>
        </is>
      </c>
      <c r="F21" s="26" t="inlineStr">
        <is>
          <t>2</t>
        </is>
      </c>
      <c r="G21" s="21" t="n">
        <v>159380793.16</v>
      </c>
      <c r="I21" s="21" t="n">
        <v>-159380793.16</v>
      </c>
      <c r="L21" s="15">
        <f>A20-A21</f>
        <v/>
      </c>
      <c r="M21" s="20">
        <f>IF(AND(L21&gt;0,I21&lt;0),I21/365*L21*$M$3,"")</f>
        <v/>
      </c>
    </row>
    <row r="22">
      <c r="A22" s="29" t="n">
        <v>45952</v>
      </c>
      <c r="B22" s="26" t="inlineStr">
        <is>
          <t>469</t>
        </is>
      </c>
      <c r="C22" s="2" t="inlineStr">
        <is>
          <t>הוראת-קבע</t>
        </is>
      </c>
      <c r="D22" s="2" t="inlineStr"/>
      <c r="E22" s="26" t="inlineStr">
        <is>
          <t>600463579</t>
        </is>
      </c>
      <c r="F22" s="26" t="inlineStr">
        <is>
          <t>33333</t>
        </is>
      </c>
      <c r="G22" s="21" t="n">
        <v>-2288234.4</v>
      </c>
      <c r="L22" s="15">
        <f>A21-A22</f>
        <v/>
      </c>
      <c r="M22" s="20">
        <f>IF(AND(L22&gt;0,I22&lt;0),I22/365*L22*$M$3,"")</f>
        <v/>
      </c>
    </row>
    <row r="23">
      <c r="A23" s="29" t="n">
        <v>45951</v>
      </c>
      <c r="B23" s="26" t="inlineStr">
        <is>
          <t>142</t>
        </is>
      </c>
      <c r="C23" s="2" t="inlineStr">
        <is>
          <t>ספוט שקל</t>
        </is>
      </c>
      <c r="D23" s="2" t="inlineStr"/>
      <c r="E23" s="26" t="inlineStr">
        <is>
          <t>4402763</t>
        </is>
      </c>
      <c r="F23" s="26" t="inlineStr">
        <is>
          <t>4</t>
        </is>
      </c>
      <c r="H23" s="21" t="n">
        <v>26266620.93</v>
      </c>
      <c r="I23" s="21" t="n">
        <v>-2288234.4</v>
      </c>
      <c r="L23" s="15">
        <f>A22-A23</f>
        <v/>
      </c>
      <c r="M23" s="20">
        <f>IF(AND(L23&gt;0,I23&lt;0),I23/365*L23*$M$3,"")</f>
        <v/>
      </c>
    </row>
    <row r="24">
      <c r="A24" s="29" t="n">
        <v>45950</v>
      </c>
      <c r="B24" s="26" t="inlineStr">
        <is>
          <t>471</t>
        </is>
      </c>
      <c r="C24" s="2" t="inlineStr">
        <is>
          <t>ניע עמלת העברה</t>
        </is>
      </c>
      <c r="D24" s="2" t="inlineStr"/>
      <c r="E24" s="26" t="inlineStr">
        <is>
          <t>72985955</t>
        </is>
      </c>
      <c r="F24" s="26" t="inlineStr">
        <is>
          <t>1080</t>
        </is>
      </c>
      <c r="G24" s="21" t="n">
        <v>5</v>
      </c>
      <c r="I24" s="21" t="n">
        <v>-28554855.33</v>
      </c>
      <c r="L24" s="15">
        <f>A23-A24</f>
        <v/>
      </c>
      <c r="M24" s="20">
        <f>IF(AND(L24&gt;0,I24&lt;0),I24/365*L24*$M$3,"")</f>
        <v/>
      </c>
    </row>
    <row r="25">
      <c r="A25" s="29" t="n">
        <v>45950</v>
      </c>
      <c r="B25" s="26" t="inlineStr">
        <is>
          <t>452</t>
        </is>
      </c>
      <c r="C25" s="2" t="inlineStr">
        <is>
          <t>רכישה</t>
        </is>
      </c>
      <c r="D25" s="2" t="inlineStr"/>
      <c r="E25" s="26" t="inlineStr">
        <is>
          <t>4402762</t>
        </is>
      </c>
      <c r="F25" s="26" t="inlineStr">
        <is>
          <t>2</t>
        </is>
      </c>
      <c r="G25" s="21" t="n">
        <v>26266700.29</v>
      </c>
      <c r="I25" s="21" t="n">
        <v>-28554850.33</v>
      </c>
      <c r="L25" s="15">
        <f>A24-A25</f>
        <v/>
      </c>
      <c r="M25" s="20">
        <f>IF(AND(L25&gt;0,I25&lt;0),I25/365*L25*$M$3,"")</f>
        <v/>
      </c>
    </row>
    <row r="26">
      <c r="A26" s="29" t="n">
        <v>45950</v>
      </c>
      <c r="B26" s="26" t="inlineStr">
        <is>
          <t>142</t>
        </is>
      </c>
      <c r="C26" s="2" t="inlineStr">
        <is>
          <t>ספוט שקל</t>
        </is>
      </c>
      <c r="D26" s="2" t="inlineStr"/>
      <c r="E26" s="26" t="inlineStr">
        <is>
          <t>4400404</t>
        </is>
      </c>
      <c r="F26" s="26" t="inlineStr">
        <is>
          <t>4</t>
        </is>
      </c>
      <c r="H26" s="21" t="n">
        <v>26369707.17</v>
      </c>
      <c r="I26" s="21" t="n">
        <v>-2288150.04</v>
      </c>
      <c r="L26" s="15">
        <f>A25-A26</f>
        <v/>
      </c>
      <c r="M26" s="20">
        <f>IF(AND(L26&gt;0,I26&lt;0),I26/365*L26*$M$3,"")</f>
        <v/>
      </c>
    </row>
    <row r="27">
      <c r="A27" s="29" t="n">
        <v>45947</v>
      </c>
      <c r="B27" s="26" t="inlineStr">
        <is>
          <t>452</t>
        </is>
      </c>
      <c r="C27" s="2" t="inlineStr">
        <is>
          <t>רכישה</t>
        </is>
      </c>
      <c r="D27" s="2" t="inlineStr"/>
      <c r="E27" s="26" t="inlineStr">
        <is>
          <t>4400403</t>
        </is>
      </c>
      <c r="F27" s="26" t="inlineStr">
        <is>
          <t>2</t>
        </is>
      </c>
      <c r="G27" s="21" t="n">
        <v>26369865.88</v>
      </c>
      <c r="I27" s="21" t="n">
        <v>-28657857.21</v>
      </c>
      <c r="L27" s="15">
        <f>A26-A27</f>
        <v/>
      </c>
      <c r="M27" s="20">
        <f>IF(AND(L27&gt;0,I27&lt;0),I27/365*L27*$M$3,"")</f>
        <v/>
      </c>
    </row>
    <row r="28">
      <c r="A28" s="29" t="n">
        <v>45940</v>
      </c>
      <c r="B28" s="26" t="inlineStr">
        <is>
          <t>452</t>
        </is>
      </c>
      <c r="C28" s="2" t="inlineStr">
        <is>
          <t>ספוט שקל</t>
        </is>
      </c>
      <c r="D28" s="2" t="inlineStr"/>
      <c r="E28" s="26" t="inlineStr">
        <is>
          <t>4384156</t>
        </is>
      </c>
      <c r="F28" s="26" t="inlineStr">
        <is>
          <t>4</t>
        </is>
      </c>
      <c r="G28" s="21" t="n">
        <v>2287991.33</v>
      </c>
      <c r="I28" s="21" t="n">
        <v>-2287991.33</v>
      </c>
      <c r="L28" s="15">
        <f>A27-A28</f>
        <v/>
      </c>
      <c r="M28" s="20">
        <f>IF(AND(L28&gt;0,I28&lt;0),I28/365*L28*$M$3,"")</f>
        <v/>
      </c>
    </row>
    <row r="29">
      <c r="A29" s="29" t="n">
        <v>45938</v>
      </c>
      <c r="B29" s="26" t="inlineStr">
        <is>
          <t>469</t>
        </is>
      </c>
      <c r="C29" s="2" t="inlineStr">
        <is>
          <t>הוראת-קבע</t>
        </is>
      </c>
      <c r="D29" s="2" t="inlineStr"/>
      <c r="E29" s="26" t="inlineStr">
        <is>
          <t>600463579</t>
        </is>
      </c>
      <c r="F29" s="26" t="inlineStr">
        <is>
          <t>33333</t>
        </is>
      </c>
      <c r="G29" s="21" t="n">
        <v>224436.59</v>
      </c>
      <c r="L29" s="15">
        <f>A28-A29</f>
        <v/>
      </c>
      <c r="M29" s="20">
        <f>IF(AND(L29&gt;0,I29&lt;0),I29/365*L29*$M$3,"")</f>
        <v/>
      </c>
    </row>
    <row r="30">
      <c r="A30" s="29" t="n">
        <v>45938</v>
      </c>
      <c r="B30" s="26" t="inlineStr">
        <is>
          <t>452</t>
        </is>
      </c>
      <c r="C30" s="2" t="inlineStr">
        <is>
          <t>החלף מטבע</t>
        </is>
      </c>
      <c r="D30" s="2" t="inlineStr"/>
      <c r="E30" s="26" t="inlineStr">
        <is>
          <t>744881</t>
        </is>
      </c>
      <c r="F30" s="26" t="inlineStr">
        <is>
          <t>22</t>
        </is>
      </c>
      <c r="G30" s="21" t="n">
        <v>2063496.24</v>
      </c>
      <c r="I30" s="21" t="n">
        <v>224436.59</v>
      </c>
      <c r="L30" s="15">
        <f>A29-A30</f>
        <v/>
      </c>
      <c r="M30" s="20">
        <f>IF(AND(L30&gt;0,I30&lt;0),I30/365*L30*$M$3,"")</f>
        <v/>
      </c>
    </row>
    <row r="31">
      <c r="A31" s="29" t="n">
        <v>45938</v>
      </c>
      <c r="B31" s="26" t="inlineStr">
        <is>
          <t>142</t>
        </is>
      </c>
      <c r="C31" s="2" t="inlineStr">
        <is>
          <t>המרה</t>
        </is>
      </c>
      <c r="D31" s="2" t="inlineStr"/>
      <c r="E31" s="26" t="inlineStr">
        <is>
          <t>4384155</t>
        </is>
      </c>
      <c r="F31" s="26" t="inlineStr">
        <is>
          <t>1</t>
        </is>
      </c>
      <c r="H31" s="21" t="n">
        <v>2287956.51</v>
      </c>
      <c r="I31" s="21" t="n">
        <v>2287932.83</v>
      </c>
      <c r="L31" s="15">
        <f>A30-A31</f>
        <v/>
      </c>
      <c r="M31" s="20">
        <f>IF(AND(L31&gt;0,I31&lt;0),I31/365*L31*$M$3,"")</f>
        <v/>
      </c>
    </row>
    <row r="32">
      <c r="A32" s="29" t="n">
        <v>45936</v>
      </c>
      <c r="B32" s="26" t="inlineStr">
        <is>
          <t>472</t>
        </is>
      </c>
      <c r="C32" s="2" t="inlineStr">
        <is>
          <t>רבית (תאריך ערך: 03/10)</t>
        </is>
      </c>
      <c r="D32" s="2" t="inlineStr"/>
      <c r="E32" s="26" t="inlineStr">
        <is>
          <t>925</t>
        </is>
      </c>
      <c r="F32" s="26" t="inlineStr">
        <is>
          <t>0</t>
        </is>
      </c>
      <c r="G32" s="21" t="n">
        <v>23.68</v>
      </c>
      <c r="I32" s="21" t="n">
        <v>-23.68</v>
      </c>
      <c r="L32" s="15">
        <f>A31-A32</f>
        <v/>
      </c>
      <c r="M32" s="20">
        <f>IF(AND(L32&gt;0,I32&lt;0),I32/365*L32*$M$3,"")</f>
        <v/>
      </c>
    </row>
    <row r="33">
      <c r="A33" s="29" t="n">
        <v>45930</v>
      </c>
      <c r="B33" s="26" t="inlineStr">
        <is>
          <t>469</t>
        </is>
      </c>
      <c r="C33" s="2" t="inlineStr">
        <is>
          <t>הוראת-קבע</t>
        </is>
      </c>
      <c r="D33" s="2" t="inlineStr"/>
      <c r="E33" s="26" t="inlineStr">
        <is>
          <t>600463579</t>
        </is>
      </c>
      <c r="F33" s="26" t="inlineStr">
        <is>
          <t>33333</t>
        </is>
      </c>
      <c r="G33" s="21" t="n">
        <v>230530.78</v>
      </c>
      <c r="L33" s="15">
        <f>A32-A33</f>
        <v/>
      </c>
      <c r="M33" s="20">
        <f>IF(AND(L33&gt;0,I33&lt;0),I33/365*L33*$M$3,"")</f>
        <v/>
      </c>
    </row>
    <row r="34">
      <c r="M34" s="30">
        <f>SUM(M4:M33)</f>
        <v/>
      </c>
      <c r="N34" s="30">
        <f>SUM(N4:N33)</f>
        <v/>
      </c>
      <c r="O34" s="30">
        <f>SUM(M34:N34)</f>
        <v/>
      </c>
      <c r="P34" s="4" t="inlineStr">
        <is>
          <t>סכום לתשלום</t>
        </is>
      </c>
    </row>
    <row r="35">
      <c r="O35" s="20">
        <f>-'פירוט ריבית חובה לפי PDF'!G31</f>
        <v/>
      </c>
      <c r="P35" s="2" t="inlineStr">
        <is>
          <t>סכום שירד בפועל</t>
        </is>
      </c>
    </row>
    <row r="36">
      <c r="O36" s="22">
        <f>O34-O35</f>
        <v/>
      </c>
      <c r="P36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2026-04-02T10:29:50Z</dcterms:created>
  <dcterms:modified xmlns:dcterms="http://purl.org/dc/terms/" xmlns:xsi="http://www.w3.org/2001/XMLSchema-instance" xsi:type="dcterms:W3CDTF">2026-04-02T10:29:50Z</dcterms:modified>
</cp:coreProperties>
</file>