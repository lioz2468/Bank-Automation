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"/>
    <numFmt numFmtId="166" formatCode="_ * #,##0.0_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1" fontId="0" fillId="0" borderId="0" applyAlignment="1" pivotButton="0" quotePrefix="0" xfId="0">
      <alignment horizontal="center" vertical="bottom" readingOrder="2"/>
    </xf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6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4" fontId="0" fillId="0" borderId="0" pivotButton="0" quotePrefix="0" xfId="0"/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463560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>תאריך הדפסה 02/01/26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J9" s="11">
        <f>$I$2+$I$3</f>
        <v/>
      </c>
      <c r="K9" s="11">
        <f>$J$2+$I$3</f>
        <v/>
      </c>
    </row>
    <row r="10">
      <c r="A10" s="12" t="n">
        <v>45931</v>
      </c>
      <c r="B10" s="12" t="n">
        <v>45961</v>
      </c>
      <c r="C10" s="13" t="inlineStr">
        <is>
          <t>13,000,000 ש"ח</t>
        </is>
      </c>
      <c r="D10" s="14" t="n"/>
      <c r="E10" s="14" t="n"/>
      <c r="F10" s="14" t="n"/>
      <c r="G10" s="14" t="n"/>
      <c r="H10" s="14" t="n"/>
      <c r="I10" s="15">
        <f>B10-A10</f>
        <v/>
      </c>
    </row>
    <row r="11">
      <c r="A11" s="13" t="inlineStr">
        <is>
          <t>מדרגה 1</t>
        </is>
      </c>
      <c r="B11" s="14" t="n"/>
      <c r="C11" s="14" t="n"/>
      <c r="D11" s="14" t="n"/>
      <c r="E11" s="16" t="n">
        <v>13000000</v>
      </c>
      <c r="F11" s="17" t="n">
        <v>0.049</v>
      </c>
      <c r="G11" s="18" t="n">
        <v>83304292.11</v>
      </c>
      <c r="H11" s="19" t="n">
        <v>11183.32</v>
      </c>
      <c r="J11" s="20">
        <f>($J$9-F11)*G11/365</f>
        <v/>
      </c>
    </row>
    <row r="12">
      <c r="A12" s="13" t="inlineStr">
        <is>
          <t>חריגה</t>
        </is>
      </c>
      <c r="B12" s="14" t="n"/>
      <c r="C12" s="14" t="n"/>
      <c r="D12" s="14" t="n"/>
      <c r="F12" s="17" t="n">
        <v>0.049</v>
      </c>
      <c r="G12" s="18" t="n">
        <v>208909220.12</v>
      </c>
      <c r="H12" s="19" t="n">
        <v>28045.35</v>
      </c>
      <c r="J12" s="20">
        <f>($J$9-F12)*G12/365</f>
        <v/>
      </c>
    </row>
    <row r="13">
      <c r="A13" s="12" t="n">
        <v>45962</v>
      </c>
      <c r="B13" s="12" t="n">
        <v>45986</v>
      </c>
      <c r="C13" s="13" t="inlineStr">
        <is>
          <t>13,000,000 ש"ח</t>
        </is>
      </c>
      <c r="D13" s="14" t="n"/>
      <c r="E13" s="14" t="n"/>
      <c r="F13" s="14" t="n"/>
      <c r="G13" s="14" t="n"/>
      <c r="H13" s="14" t="n"/>
      <c r="I13" s="15">
        <f>B13-A13</f>
        <v/>
      </c>
    </row>
    <row r="14">
      <c r="A14" s="13" t="inlineStr">
        <is>
          <t>מדרגה 1</t>
        </is>
      </c>
      <c r="B14" s="14" t="n"/>
      <c r="C14" s="14" t="n"/>
      <c r="D14" s="14" t="n"/>
      <c r="E14" s="16" t="n">
        <v>13000000</v>
      </c>
      <c r="F14" s="17" t="n">
        <v>0.049</v>
      </c>
      <c r="G14" s="18" t="n">
        <v>124902275.84</v>
      </c>
      <c r="H14" s="19" t="n">
        <v>16767.7</v>
      </c>
      <c r="J14" s="20">
        <f>($J$9-F14)*G14/365</f>
        <v/>
      </c>
    </row>
    <row r="15">
      <c r="A15" s="13" t="inlineStr">
        <is>
          <t>חריגה</t>
        </is>
      </c>
      <c r="B15" s="14" t="n"/>
      <c r="C15" s="14" t="n"/>
      <c r="D15" s="14" t="n"/>
      <c r="F15" s="17" t="n">
        <v>0.049</v>
      </c>
      <c r="G15" s="18" t="n">
        <v>1409440543.08</v>
      </c>
      <c r="H15" s="19" t="n">
        <v>189212.57</v>
      </c>
      <c r="J15" s="20">
        <f>($J$9-F15)*G15/365</f>
        <v/>
      </c>
    </row>
    <row r="16">
      <c r="A16" s="12" t="n">
        <v>45987</v>
      </c>
      <c r="B16" s="12" t="n">
        <v>45987</v>
      </c>
      <c r="C16" s="13" t="inlineStr">
        <is>
          <t>10,100,000 ש"ח</t>
        </is>
      </c>
      <c r="D16" s="14" t="n"/>
      <c r="E16" s="14" t="n"/>
      <c r="F16" s="14" t="n"/>
      <c r="G16" s="14" t="n"/>
      <c r="H16" s="14" t="n"/>
      <c r="I16" s="15">
        <f>B16-A16</f>
        <v/>
      </c>
    </row>
    <row r="17">
      <c r="A17" s="13" t="inlineStr">
        <is>
          <t>מדרגה 1</t>
        </is>
      </c>
      <c r="B17" s="14" t="n"/>
      <c r="C17" s="14" t="n"/>
      <c r="D17" s="14" t="n"/>
      <c r="E17" s="16" t="n">
        <v>10100000</v>
      </c>
      <c r="F17" s="17" t="n">
        <v>0.049</v>
      </c>
      <c r="G17" s="18" t="n">
        <v>0</v>
      </c>
      <c r="H17" s="19" t="n">
        <v>0</v>
      </c>
      <c r="K17" s="20">
        <f>($K$9-F17)*G17/365</f>
        <v/>
      </c>
    </row>
    <row r="18">
      <c r="A18" s="13" t="inlineStr">
        <is>
          <t>חריגה</t>
        </is>
      </c>
      <c r="B18" s="14" t="n"/>
      <c r="C18" s="14" t="n"/>
      <c r="D18" s="14" t="n"/>
      <c r="F18" s="17" t="n">
        <v>0.049</v>
      </c>
      <c r="G18" s="18" t="n">
        <v>0</v>
      </c>
      <c r="H18" s="19" t="n">
        <v>0</v>
      </c>
      <c r="K18" s="20">
        <f>($K$9-F18)*G18/365</f>
        <v/>
      </c>
    </row>
    <row r="19">
      <c r="A19" s="12" t="n">
        <v>45988</v>
      </c>
      <c r="B19" s="12" t="n">
        <v>45991</v>
      </c>
      <c r="C19" s="13" t="inlineStr">
        <is>
          <t>10,100,000 ש"ח</t>
        </is>
      </c>
      <c r="D19" s="14" t="n"/>
      <c r="E19" s="14" t="n"/>
      <c r="F19" s="14" t="n"/>
      <c r="G19" s="14" t="n"/>
      <c r="H19" s="14" t="n"/>
      <c r="I19" s="15">
        <f>B19-A19</f>
        <v/>
      </c>
    </row>
    <row r="20">
      <c r="A20" s="13" t="inlineStr">
        <is>
          <t>מדרגה 1</t>
        </is>
      </c>
      <c r="B20" s="14" t="n"/>
      <c r="C20" s="14" t="n"/>
      <c r="D20" s="14" t="n"/>
      <c r="E20" s="16" t="n">
        <v>10100000</v>
      </c>
      <c r="F20" s="17" t="n">
        <v>0.04650000000000001</v>
      </c>
      <c r="G20" s="18" t="n">
        <v>0</v>
      </c>
      <c r="H20" s="19" t="n">
        <v>0</v>
      </c>
      <c r="K20" s="20">
        <f>($K$9-F20)*G20/365</f>
        <v/>
      </c>
    </row>
    <row r="21">
      <c r="A21" s="13" t="inlineStr">
        <is>
          <t>חריגה</t>
        </is>
      </c>
      <c r="B21" s="14" t="n"/>
      <c r="C21" s="14" t="n"/>
      <c r="D21" s="14" t="n"/>
      <c r="F21" s="17" t="n">
        <v>0.04650000000000001</v>
      </c>
      <c r="G21" s="18" t="n">
        <v>0</v>
      </c>
      <c r="H21" s="19" t="n">
        <v>0</v>
      </c>
      <c r="K21" s="20">
        <f>($K$9-F21)*G21/365</f>
        <v/>
      </c>
    </row>
    <row r="22">
      <c r="A22" s="12" t="n">
        <v>45992</v>
      </c>
      <c r="B22" s="12" t="n">
        <v>46012</v>
      </c>
      <c r="C22" s="13" t="inlineStr">
        <is>
          <t>10,100,000 ש"ח</t>
        </is>
      </c>
      <c r="D22" s="14" t="n"/>
      <c r="E22" s="14" t="n"/>
      <c r="F22" s="14" t="n"/>
      <c r="G22" s="14" t="n"/>
      <c r="H22" s="14" t="n"/>
      <c r="I22" s="15">
        <f>B22-A22</f>
        <v/>
      </c>
    </row>
    <row r="23">
      <c r="A23" s="13" t="inlineStr">
        <is>
          <t>מדרגה 1</t>
        </is>
      </c>
      <c r="B23" s="14" t="n"/>
      <c r="C23" s="14" t="n"/>
      <c r="D23" s="14" t="n"/>
      <c r="E23" s="16" t="n">
        <v>10100000</v>
      </c>
      <c r="F23" s="17" t="n">
        <v>0.04650000000000001</v>
      </c>
      <c r="G23" s="18" t="n">
        <v>0</v>
      </c>
      <c r="H23" s="19" t="n">
        <v>0</v>
      </c>
      <c r="K23" s="20">
        <f>($K$9-F23)*G23/365</f>
        <v/>
      </c>
    </row>
    <row r="24">
      <c r="A24" s="13" t="inlineStr">
        <is>
          <t>חריגה</t>
        </is>
      </c>
      <c r="B24" s="14" t="n"/>
      <c r="C24" s="14" t="n"/>
      <c r="D24" s="14" t="n"/>
      <c r="F24" s="17" t="n">
        <v>0.04650000000000001</v>
      </c>
      <c r="G24" s="18" t="n">
        <v>0</v>
      </c>
      <c r="H24" s="19" t="n">
        <v>0</v>
      </c>
      <c r="K24" s="20">
        <f>($K$9-F24)*G24/365</f>
        <v/>
      </c>
    </row>
    <row r="25">
      <c r="A25" s="12" t="n">
        <v>46013</v>
      </c>
      <c r="B25" s="12" t="n">
        <v>46022</v>
      </c>
      <c r="C25" s="13" t="inlineStr">
        <is>
          <t>3,100,000 ש"ח</t>
        </is>
      </c>
      <c r="D25" s="14" t="n"/>
      <c r="E25" s="14" t="n"/>
      <c r="F25" s="14" t="n"/>
      <c r="G25" s="14" t="n"/>
      <c r="H25" s="14" t="n"/>
      <c r="I25" s="15">
        <f>B25-A25</f>
        <v/>
      </c>
    </row>
    <row r="26">
      <c r="A26" s="13" t="inlineStr">
        <is>
          <t>מדרגה 1</t>
        </is>
      </c>
      <c r="B26" s="14" t="n"/>
      <c r="C26" s="14" t="n"/>
      <c r="D26" s="14" t="n"/>
      <c r="E26" s="16" t="n">
        <v>3100000</v>
      </c>
      <c r="F26" s="17" t="n">
        <v>0.04650000000000001</v>
      </c>
      <c r="G26" s="18" t="n">
        <v>0</v>
      </c>
      <c r="H26" s="19" t="n">
        <v>0</v>
      </c>
      <c r="K26" s="20">
        <f>($K$9-F26)*G26/365</f>
        <v/>
      </c>
    </row>
    <row r="27">
      <c r="A27" s="13" t="inlineStr">
        <is>
          <t>חריגה</t>
        </is>
      </c>
      <c r="B27" s="14" t="n"/>
      <c r="C27" s="14" t="n"/>
      <c r="D27" s="14" t="n"/>
      <c r="F27" s="17" t="n">
        <v>0.04650000000000001</v>
      </c>
      <c r="G27" s="18" t="n">
        <v>0</v>
      </c>
      <c r="H27" s="19" t="n">
        <v>0</v>
      </c>
      <c r="K27" s="20">
        <f>($K$9-F27)*G27/365</f>
        <v/>
      </c>
    </row>
    <row r="29">
      <c r="A29" s="4" t="inlineStr">
        <is>
          <t>סה"כ ריבית חובה:</t>
        </is>
      </c>
      <c r="F29" s="2" t="inlineStr">
        <is>
          <t>מדרגה 1</t>
        </is>
      </c>
      <c r="G29" s="21" t="n">
        <v>27951.02</v>
      </c>
      <c r="J29" s="22">
        <f>SUM(J11:J27)</f>
        <v/>
      </c>
      <c r="K29" s="22">
        <f>SUM(K11:K27)</f>
        <v/>
      </c>
      <c r="L29" s="22">
        <f>SUM(J29:K29)</f>
        <v/>
      </c>
      <c r="M29" s="4" t="inlineStr">
        <is>
          <t>החזר</t>
        </is>
      </c>
    </row>
    <row r="30">
      <c r="F30" s="2" t="inlineStr">
        <is>
          <t>חריגה</t>
        </is>
      </c>
      <c r="G30" s="21" t="n">
        <v>217257.92</v>
      </c>
    </row>
    <row r="31">
      <c r="G31" s="23">
        <f>SUM(G29:G30)</f>
        <v/>
      </c>
    </row>
    <row r="32">
      <c r="A32" s="4" t="inlineStr">
        <is>
          <t>חשבונך חויב ב- 01/01/26 בסכום של: 245,208.93 ש"ח.</t>
        </is>
      </c>
    </row>
    <row r="34">
      <c r="A34" s="4" t="inlineStr">
        <is>
          <t>לידיעתך:</t>
        </is>
      </c>
    </row>
    <row r="35">
      <c r="A35" s="24" t="inlineStr">
        <is>
          <t>מספרי חובה - נתון זה הינו סיכום (חיבור) של יתרות החובה בפועל (לפי תאריכי ערך)</t>
        </is>
      </c>
    </row>
    <row r="36">
      <c r="A36" s="25" t="inlineStr">
        <is>
          <t>בתקופת החישוב לגביה מחושבת ריבית החובה במדרגה הנדונה.</t>
        </is>
      </c>
    </row>
    <row r="37">
      <c r="A37" s="25" t="inlineStr">
        <is>
          <t>דיווח זה ניתן כשרות חינם ללקוח, בהתאם לכללי גילוי נאות.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6" t="inlineStr">
        <is>
          <t>27.11</t>
        </is>
      </c>
    </row>
    <row r="3">
      <c r="A3" s="27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12-600-463560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8" t="inlineStr">
        <is>
          <t>תאריך</t>
        </is>
      </c>
      <c r="B5" s="28" t="inlineStr">
        <is>
          <t>קוד פעולה</t>
        </is>
      </c>
      <c r="C5" s="28" t="inlineStr">
        <is>
          <t>הפעולה</t>
        </is>
      </c>
      <c r="D5" s="28" t="inlineStr">
        <is>
          <t>פרטים</t>
        </is>
      </c>
      <c r="E5" s="28" t="inlineStr">
        <is>
          <t>אסמכתא</t>
        </is>
      </c>
      <c r="F5" s="28" t="inlineStr">
        <is>
          <t>צרור</t>
        </is>
      </c>
      <c r="G5" s="28" t="inlineStr">
        <is>
          <t>חובה</t>
        </is>
      </c>
      <c r="H5" s="28" t="inlineStr">
        <is>
          <t>זכות</t>
        </is>
      </c>
      <c r="I5" s="28" t="inlineStr">
        <is>
          <t>יתרה בש"ח</t>
        </is>
      </c>
      <c r="J5" s="28" t="inlineStr">
        <is>
          <t>הערה</t>
        </is>
      </c>
    </row>
    <row r="6">
      <c r="A6" s="29" t="n">
        <v>46022</v>
      </c>
      <c r="B6" s="26" t="inlineStr">
        <is>
          <t>120</t>
        </is>
      </c>
      <c r="C6" s="2" t="inlineStr">
        <is>
          <t>הוראת-קבע</t>
        </is>
      </c>
      <c r="D6" s="2" t="inlineStr"/>
      <c r="E6" s="26" t="inlineStr">
        <is>
          <t>600463552</t>
        </is>
      </c>
      <c r="F6" s="26" t="inlineStr">
        <is>
          <t>33333</t>
        </is>
      </c>
      <c r="H6" s="21" t="n">
        <v>757980.48</v>
      </c>
      <c r="I6" s="21" t="n">
        <v>-341908326.47</v>
      </c>
      <c r="J6" s="15">
        <f>A6-A7</f>
        <v/>
      </c>
    </row>
    <row r="7">
      <c r="A7" s="29" t="n">
        <v>46021</v>
      </c>
      <c r="B7" s="26" t="inlineStr">
        <is>
          <t>120</t>
        </is>
      </c>
      <c r="C7" s="2" t="inlineStr">
        <is>
          <t>הוראת-קבע</t>
        </is>
      </c>
      <c r="D7" s="2" t="inlineStr"/>
      <c r="E7" s="26" t="inlineStr">
        <is>
          <t>600463552</t>
        </is>
      </c>
      <c r="F7" s="26" t="inlineStr">
        <is>
          <t>33333</t>
        </is>
      </c>
      <c r="H7" s="21" t="n">
        <v>-525990.47</v>
      </c>
      <c r="I7" s="21" t="n">
        <v>-344812715.24</v>
      </c>
      <c r="J7" s="15">
        <f>A7-A8</f>
        <v/>
      </c>
    </row>
    <row r="8">
      <c r="A8" s="29" t="n">
        <v>46020</v>
      </c>
      <c r="B8" s="26" t="inlineStr">
        <is>
          <t>120</t>
        </is>
      </c>
      <c r="C8" s="2" t="inlineStr">
        <is>
          <t>הוראת-קבע</t>
        </is>
      </c>
      <c r="D8" s="2" t="inlineStr"/>
      <c r="E8" s="26" t="inlineStr">
        <is>
          <t>600463552</t>
        </is>
      </c>
      <c r="F8" s="26" t="inlineStr">
        <is>
          <t>33333</t>
        </is>
      </c>
      <c r="H8" s="21" t="n">
        <v>-26965549.05</v>
      </c>
      <c r="I8" s="21" t="n">
        <v>-342163647</v>
      </c>
      <c r="J8" s="15">
        <f>A8-A9</f>
        <v/>
      </c>
    </row>
    <row r="9">
      <c r="A9" s="29" t="n">
        <v>46014</v>
      </c>
      <c r="B9" s="26" t="inlineStr">
        <is>
          <t>120</t>
        </is>
      </c>
      <c r="C9" s="2" t="inlineStr">
        <is>
          <t>הוראת-קבע</t>
        </is>
      </c>
      <c r="D9" s="2" t="inlineStr"/>
      <c r="E9" s="26" t="inlineStr">
        <is>
          <t>600463544</t>
        </is>
      </c>
      <c r="F9" s="26" t="inlineStr">
        <is>
          <t>33333</t>
        </is>
      </c>
      <c r="H9" s="21" t="n">
        <v>-385024</v>
      </c>
      <c r="I9" s="21" t="n">
        <v>-315200175.22</v>
      </c>
      <c r="J9" s="15">
        <f>A9-A10</f>
        <v/>
      </c>
    </row>
    <row r="10">
      <c r="A10" s="29" t="n">
        <v>46013</v>
      </c>
      <c r="B10" s="26" t="inlineStr">
        <is>
          <t>120</t>
        </is>
      </c>
      <c r="C10" s="2" t="inlineStr">
        <is>
          <t>הוראת-קבע</t>
        </is>
      </c>
      <c r="D10" s="2" t="inlineStr"/>
      <c r="E10" s="26" t="inlineStr">
        <is>
          <t>600463552</t>
        </is>
      </c>
      <c r="F10" s="26" t="inlineStr">
        <is>
          <t>33333</t>
        </is>
      </c>
      <c r="H10" s="21" t="n">
        <v>3450562.9</v>
      </c>
      <c r="I10" s="21" t="n">
        <v>-314801425.03</v>
      </c>
      <c r="J10" s="15">
        <f>A10-A11</f>
        <v/>
      </c>
    </row>
    <row r="11">
      <c r="A11" s="29" t="n">
        <v>46010</v>
      </c>
      <c r="B11" s="26" t="inlineStr">
        <is>
          <t>120</t>
        </is>
      </c>
      <c r="C11" s="2" t="inlineStr">
        <is>
          <t>הוראת-קבע</t>
        </is>
      </c>
      <c r="D11" s="2" t="inlineStr"/>
      <c r="E11" s="26" t="inlineStr">
        <is>
          <t>600463552</t>
        </is>
      </c>
      <c r="F11" s="26" t="inlineStr">
        <is>
          <t>33333</t>
        </is>
      </c>
      <c r="H11" s="21" t="n">
        <v>-3656625.65</v>
      </c>
      <c r="I11" s="21" t="n">
        <v>-318251987.93</v>
      </c>
      <c r="J11" s="15">
        <f>A11-A12</f>
        <v/>
      </c>
    </row>
    <row r="12">
      <c r="A12" s="29" t="n">
        <v>46009</v>
      </c>
      <c r="B12" s="26" t="inlineStr">
        <is>
          <t>120</t>
        </is>
      </c>
      <c r="C12" s="2" t="inlineStr">
        <is>
          <t>הוראת-קבע</t>
        </is>
      </c>
      <c r="D12" s="2" t="inlineStr"/>
      <c r="E12" s="26" t="inlineStr">
        <is>
          <t>600463544</t>
        </is>
      </c>
      <c r="F12" s="26" t="inlineStr">
        <is>
          <t>33333</t>
        </is>
      </c>
      <c r="H12" s="21" t="n">
        <v>154495.6</v>
      </c>
      <c r="I12" s="21" t="n">
        <v>-314595362.28</v>
      </c>
      <c r="J12" s="15">
        <f>A12-A13</f>
        <v/>
      </c>
    </row>
    <row r="13">
      <c r="A13" s="29" t="n">
        <v>46008</v>
      </c>
      <c r="B13" s="26" t="inlineStr">
        <is>
          <t>120</t>
        </is>
      </c>
      <c r="C13" s="2" t="inlineStr">
        <is>
          <t>הוראת-קבע</t>
        </is>
      </c>
      <c r="D13" s="2" t="inlineStr"/>
      <c r="E13" s="26" t="inlineStr">
        <is>
          <t>600463552</t>
        </is>
      </c>
      <c r="F13" s="26" t="inlineStr">
        <is>
          <t>33333</t>
        </is>
      </c>
      <c r="H13" s="21" t="n">
        <v>159642134.36</v>
      </c>
      <c r="I13" s="21" t="n">
        <v>-314759052.38</v>
      </c>
      <c r="J13" s="15">
        <f>A13-A14</f>
        <v/>
      </c>
    </row>
    <row r="14">
      <c r="A14" s="29" t="n">
        <v>46007</v>
      </c>
      <c r="B14" s="26" t="inlineStr">
        <is>
          <t>120</t>
        </is>
      </c>
      <c r="C14" s="2" t="inlineStr">
        <is>
          <t>הוראת-קבע</t>
        </is>
      </c>
      <c r="D14" s="2" t="inlineStr"/>
      <c r="E14" s="26" t="inlineStr">
        <is>
          <t>600463544</t>
        </is>
      </c>
      <c r="F14" s="26" t="inlineStr">
        <is>
          <t>33333</t>
        </is>
      </c>
      <c r="H14" s="21" t="n">
        <v>-154491.76</v>
      </c>
      <c r="I14" s="21" t="n">
        <v>-474401186.74</v>
      </c>
      <c r="J14" s="15">
        <f>A14-A15</f>
        <v/>
      </c>
    </row>
    <row r="15">
      <c r="A15" s="29" t="n">
        <v>46006</v>
      </c>
      <c r="B15" s="26" t="inlineStr">
        <is>
          <t>120</t>
        </is>
      </c>
      <c r="C15" s="2" t="inlineStr">
        <is>
          <t>הוראת-קבע</t>
        </is>
      </c>
      <c r="D15" s="2" t="inlineStr"/>
      <c r="E15" s="26" t="inlineStr">
        <is>
          <t>600463552</t>
        </is>
      </c>
      <c r="F15" s="26" t="inlineStr">
        <is>
          <t>33333</t>
        </is>
      </c>
      <c r="H15" s="21" t="n">
        <v>7814583.14</v>
      </c>
      <c r="I15" s="21" t="n">
        <v>-315050891.98</v>
      </c>
      <c r="J15" s="15">
        <f>A15-A16</f>
        <v/>
      </c>
    </row>
    <row r="16">
      <c r="A16" s="29" t="n">
        <v>46003</v>
      </c>
      <c r="B16" s="26" t="inlineStr">
        <is>
          <t>120</t>
        </is>
      </c>
      <c r="C16" s="2" t="inlineStr">
        <is>
          <t>הוראת-קבע</t>
        </is>
      </c>
      <c r="D16" s="2" t="inlineStr"/>
      <c r="E16" s="26" t="inlineStr">
        <is>
          <t>600463552</t>
        </is>
      </c>
      <c r="F16" s="26" t="inlineStr">
        <is>
          <t>33333</t>
        </is>
      </c>
      <c r="H16" s="21" t="n">
        <v>52459577.56</v>
      </c>
      <c r="I16" s="21" t="n">
        <v>-322865475.12</v>
      </c>
      <c r="J16" s="15">
        <f>A16-A17</f>
        <v/>
      </c>
    </row>
    <row r="17">
      <c r="A17" s="29" t="n">
        <v>46002</v>
      </c>
      <c r="B17" s="26" t="inlineStr">
        <is>
          <t>120</t>
        </is>
      </c>
      <c r="C17" s="2" t="inlineStr">
        <is>
          <t>הוראת-קבע</t>
        </is>
      </c>
      <c r="D17" s="2" t="inlineStr"/>
      <c r="E17" s="26" t="inlineStr">
        <is>
          <t>600463552</t>
        </is>
      </c>
      <c r="F17" s="26" t="inlineStr">
        <is>
          <t>33333</t>
        </is>
      </c>
      <c r="H17" s="21" t="n">
        <v>-52261200</v>
      </c>
      <c r="I17" s="21" t="n">
        <v>-375325052.68</v>
      </c>
      <c r="J17" s="15">
        <f>A17-A18</f>
        <v/>
      </c>
    </row>
    <row r="18">
      <c r="A18" s="29" t="n">
        <v>46001</v>
      </c>
      <c r="B18" s="26" t="inlineStr">
        <is>
          <t>120</t>
        </is>
      </c>
      <c r="C18" s="2" t="inlineStr">
        <is>
          <t>הוראת-קבע</t>
        </is>
      </c>
      <c r="D18" s="2" t="inlineStr"/>
      <c r="E18" s="26" t="inlineStr">
        <is>
          <t>600463552</t>
        </is>
      </c>
      <c r="F18" s="26" t="inlineStr">
        <is>
          <t>33333</t>
        </is>
      </c>
      <c r="H18" s="21" t="n">
        <v>-117419.9</v>
      </c>
      <c r="I18" s="21" t="n">
        <v>-323063852.68</v>
      </c>
      <c r="J18" s="15">
        <f>A18-A19</f>
        <v/>
      </c>
    </row>
    <row r="19">
      <c r="A19" s="29" t="n">
        <v>46000</v>
      </c>
      <c r="B19" s="26" t="inlineStr">
        <is>
          <t>120</t>
        </is>
      </c>
      <c r="C19" s="2" t="inlineStr">
        <is>
          <t>הוראת-קבע</t>
        </is>
      </c>
      <c r="D19" s="2" t="inlineStr"/>
      <c r="E19" s="26" t="inlineStr">
        <is>
          <t>600463552</t>
        </is>
      </c>
      <c r="F19" s="26" t="inlineStr">
        <is>
          <t>33333</t>
        </is>
      </c>
      <c r="H19" s="21" t="n">
        <v>-53084593.55</v>
      </c>
      <c r="I19" s="21" t="n">
        <v>-322946432.78</v>
      </c>
      <c r="J19" s="15">
        <f>A19-A20</f>
        <v/>
      </c>
    </row>
    <row r="20">
      <c r="A20" s="29" t="n">
        <v>45999</v>
      </c>
      <c r="B20" s="26" t="inlineStr">
        <is>
          <t>120</t>
        </is>
      </c>
      <c r="C20" s="2" t="inlineStr">
        <is>
          <t>הוראת-קבע</t>
        </is>
      </c>
      <c r="D20" s="2" t="inlineStr"/>
      <c r="E20" s="26" t="inlineStr">
        <is>
          <t>600463552</t>
        </is>
      </c>
      <c r="F20" s="26" t="inlineStr">
        <is>
          <t>33333</t>
        </is>
      </c>
      <c r="H20" s="21" t="n">
        <v>-162895353.51</v>
      </c>
      <c r="I20" s="21" t="n">
        <v>-269861839.23</v>
      </c>
      <c r="J20" s="15">
        <f>A20-A21</f>
        <v/>
      </c>
    </row>
    <row r="21">
      <c r="A21" s="29" t="n">
        <v>45996</v>
      </c>
      <c r="B21" s="26" t="inlineStr">
        <is>
          <t>120</t>
        </is>
      </c>
      <c r="C21" s="2" t="inlineStr">
        <is>
          <t>הוראת-קבע</t>
        </is>
      </c>
      <c r="D21" s="2" t="inlineStr"/>
      <c r="E21" s="26" t="inlineStr">
        <is>
          <t>600463552</t>
        </is>
      </c>
      <c r="F21" s="26" t="inlineStr">
        <is>
          <t>33333</t>
        </is>
      </c>
      <c r="H21" s="21" t="n">
        <v>163825275.4</v>
      </c>
      <c r="I21" s="21" t="n">
        <v>-106966485.72</v>
      </c>
      <c r="J21" s="15">
        <f>A21-A22</f>
        <v/>
      </c>
    </row>
    <row r="22">
      <c r="A22" s="29" t="n">
        <v>45995</v>
      </c>
      <c r="B22" s="26" t="inlineStr">
        <is>
          <t>120</t>
        </is>
      </c>
      <c r="C22" s="2" t="inlineStr">
        <is>
          <t>הוראת-קבע</t>
        </is>
      </c>
      <c r="D22" s="2" t="inlineStr"/>
      <c r="E22" s="26" t="inlineStr">
        <is>
          <t>600463552</t>
        </is>
      </c>
      <c r="F22" s="26" t="inlineStr">
        <is>
          <t>33333</t>
        </is>
      </c>
      <c r="H22" s="21" t="n">
        <v>162283967.03</v>
      </c>
      <c r="I22" s="21" t="n">
        <v>-270791761.12</v>
      </c>
      <c r="J22" s="15">
        <f>A22-A23</f>
        <v/>
      </c>
    </row>
    <row r="23">
      <c r="A23" s="29" t="n">
        <v>45994</v>
      </c>
      <c r="B23" s="26" t="inlineStr">
        <is>
          <t>120</t>
        </is>
      </c>
      <c r="C23" s="2" t="inlineStr">
        <is>
          <t>הוראת-קבע</t>
        </is>
      </c>
      <c r="D23" s="2" t="inlineStr"/>
      <c r="E23" s="26" t="inlineStr">
        <is>
          <t>600463552</t>
        </is>
      </c>
      <c r="F23" s="26" t="inlineStr">
        <is>
          <t>33333</t>
        </is>
      </c>
      <c r="H23" s="21" t="n">
        <v>-79701556.31</v>
      </c>
      <c r="I23" s="21" t="n">
        <v>-433075728.15</v>
      </c>
      <c r="J23" s="15">
        <f>A23-A24</f>
        <v/>
      </c>
    </row>
    <row r="24">
      <c r="A24" s="29" t="n">
        <v>45993</v>
      </c>
      <c r="B24" s="26" t="inlineStr">
        <is>
          <t>120</t>
        </is>
      </c>
      <c r="C24" s="2" t="inlineStr">
        <is>
          <t>הוראת-קבע</t>
        </is>
      </c>
      <c r="D24" s="2" t="inlineStr"/>
      <c r="E24" s="26" t="inlineStr">
        <is>
          <t>600463552</t>
        </is>
      </c>
      <c r="F24" s="26" t="inlineStr">
        <is>
          <t>33333</t>
        </is>
      </c>
      <c r="H24" s="21" t="n">
        <v>-80869316.83</v>
      </c>
      <c r="I24" s="21" t="n">
        <v>-353374171.84</v>
      </c>
      <c r="J24" s="15">
        <f>A24-A25</f>
        <v/>
      </c>
    </row>
    <row r="25">
      <c r="A25" s="29" t="n">
        <v>45992</v>
      </c>
      <c r="B25" s="26" t="inlineStr">
        <is>
          <t>120</t>
        </is>
      </c>
      <c r="C25" s="2" t="inlineStr">
        <is>
          <t>הוראת-קבע</t>
        </is>
      </c>
      <c r="D25" s="2" t="inlineStr"/>
      <c r="E25" s="26" t="inlineStr">
        <is>
          <t>600463552</t>
        </is>
      </c>
      <c r="F25" s="26" t="inlineStr">
        <is>
          <t>33333</t>
        </is>
      </c>
      <c r="H25" s="21" t="n">
        <v>-506368.97</v>
      </c>
      <c r="I25" s="21" t="n">
        <v>-272505336.37</v>
      </c>
      <c r="J25" s="15">
        <f>A25-A26</f>
        <v/>
      </c>
    </row>
    <row r="26">
      <c r="A26" s="29" t="n">
        <v>45991</v>
      </c>
      <c r="B26" s="26" t="inlineStr">
        <is>
          <t>120</t>
        </is>
      </c>
      <c r="C26" s="2" t="inlineStr">
        <is>
          <t>הוראת-קבע</t>
        </is>
      </c>
      <c r="D26" s="2" t="inlineStr"/>
      <c r="E26" s="26" t="inlineStr">
        <is>
          <t>600463552</t>
        </is>
      </c>
      <c r="F26" s="26" t="inlineStr">
        <is>
          <t>33333</t>
        </is>
      </c>
      <c r="H26" s="21" t="n">
        <v>66986821.6</v>
      </c>
      <c r="I26" s="21" t="n">
        <v>-271998967.4</v>
      </c>
      <c r="J26" s="15">
        <f>A26-A27</f>
        <v/>
      </c>
    </row>
    <row r="27">
      <c r="A27" s="29" t="n">
        <v>45989</v>
      </c>
      <c r="B27" s="26" t="inlineStr">
        <is>
          <t>120</t>
        </is>
      </c>
      <c r="C27" s="2" t="inlineStr">
        <is>
          <t>הוראת-קבע</t>
        </is>
      </c>
      <c r="D27" s="2" t="inlineStr"/>
      <c r="E27" s="26" t="inlineStr">
        <is>
          <t>600463552</t>
        </is>
      </c>
      <c r="F27" s="26" t="inlineStr">
        <is>
          <t>33333</t>
        </is>
      </c>
      <c r="H27" s="21" t="n">
        <v>1087777.21</v>
      </c>
      <c r="I27" s="21" t="n">
        <v>-338985789</v>
      </c>
      <c r="J27" s="15">
        <f>A27-A28</f>
        <v/>
      </c>
    </row>
    <row r="28">
      <c r="A28" s="29" t="n">
        <v>45988</v>
      </c>
      <c r="B28" s="26" t="inlineStr">
        <is>
          <t>120</t>
        </is>
      </c>
      <c r="C28" s="2" t="inlineStr">
        <is>
          <t>הוראת-קבע</t>
        </is>
      </c>
      <c r="D28" s="2" t="inlineStr"/>
      <c r="E28" s="26" t="inlineStr">
        <is>
          <t>600463552</t>
        </is>
      </c>
      <c r="F28" s="26" t="inlineStr">
        <is>
          <t>33333</t>
        </is>
      </c>
      <c r="H28" s="21" t="n">
        <v>-11999311.55</v>
      </c>
      <c r="I28" s="21" t="n">
        <v>-340073566.21</v>
      </c>
      <c r="J28" s="15">
        <f>A28-A29</f>
        <v/>
      </c>
    </row>
    <row r="29">
      <c r="A29" s="29" t="n">
        <v>45987</v>
      </c>
      <c r="B29" s="26" t="inlineStr">
        <is>
          <t>120</t>
        </is>
      </c>
      <c r="C29" s="2" t="inlineStr">
        <is>
          <t>הוראת-קבע</t>
        </is>
      </c>
      <c r="D29" s="2" t="inlineStr"/>
      <c r="E29" s="26" t="inlineStr">
        <is>
          <t>600463552</t>
        </is>
      </c>
      <c r="F29" s="26" t="inlineStr">
        <is>
          <t>33333</t>
        </is>
      </c>
      <c r="H29" s="21" t="n">
        <v>9238659.119999999</v>
      </c>
      <c r="I29" s="21" t="n">
        <v>-328074254.66</v>
      </c>
      <c r="J29" s="15">
        <f>A29-A30</f>
        <v/>
      </c>
    </row>
    <row r="30">
      <c r="A30" s="29" t="n">
        <v>45986</v>
      </c>
      <c r="B30" s="26" t="inlineStr">
        <is>
          <t>120</t>
        </is>
      </c>
      <c r="C30" s="2" t="inlineStr">
        <is>
          <t>הוראת-קבע</t>
        </is>
      </c>
      <c r="D30" s="2" t="inlineStr"/>
      <c r="E30" s="26" t="inlineStr">
        <is>
          <t>600463552</t>
        </is>
      </c>
      <c r="F30" s="26" t="inlineStr">
        <is>
          <t>33333</t>
        </is>
      </c>
      <c r="H30" s="21" t="n">
        <v>-66747443.13</v>
      </c>
      <c r="I30" s="21" t="n">
        <v>-337312913.78</v>
      </c>
      <c r="J30" s="15">
        <f>A30-A31</f>
        <v/>
      </c>
    </row>
    <row r="31">
      <c r="A31" s="29" t="n">
        <v>45985</v>
      </c>
      <c r="B31" s="26" t="inlineStr">
        <is>
          <t>120</t>
        </is>
      </c>
      <c r="C31" s="2" t="inlineStr">
        <is>
          <t>הוראת-קבע</t>
        </is>
      </c>
      <c r="D31" s="2" t="inlineStr"/>
      <c r="E31" s="26" t="inlineStr">
        <is>
          <t>600463552</t>
        </is>
      </c>
      <c r="F31" s="26" t="inlineStr">
        <is>
          <t>33333</t>
        </is>
      </c>
      <c r="H31" s="21" t="n">
        <v>-3130902.63</v>
      </c>
      <c r="I31" s="21" t="n">
        <v>-288345173.51</v>
      </c>
      <c r="J31" s="15">
        <f>A31-A32</f>
        <v/>
      </c>
    </row>
    <row r="32">
      <c r="A32" s="29" t="n">
        <v>45982</v>
      </c>
      <c r="B32" s="26" t="inlineStr">
        <is>
          <t>120</t>
        </is>
      </c>
      <c r="C32" s="2" t="inlineStr">
        <is>
          <t>הוראת-קבע</t>
        </is>
      </c>
      <c r="D32" s="2" t="inlineStr"/>
      <c r="E32" s="26" t="inlineStr">
        <is>
          <t>600463544</t>
        </is>
      </c>
      <c r="F32" s="26" t="inlineStr">
        <is>
          <t>33333</t>
        </is>
      </c>
      <c r="H32" s="21" t="n">
        <v>-1423447.22</v>
      </c>
      <c r="I32" s="21" t="n">
        <v>-285323069.62</v>
      </c>
      <c r="J32" s="15">
        <f>A32-A33</f>
        <v/>
      </c>
    </row>
    <row r="33">
      <c r="A33" s="29" t="n">
        <v>45981</v>
      </c>
      <c r="B33" s="26" t="inlineStr">
        <is>
          <t>120</t>
        </is>
      </c>
      <c r="C33" s="2" t="inlineStr">
        <is>
          <t>הוראת-קבע</t>
        </is>
      </c>
      <c r="D33" s="2" t="inlineStr"/>
      <c r="E33" s="26" t="inlineStr">
        <is>
          <t>600463544</t>
        </is>
      </c>
      <c r="F33" s="26" t="inlineStr">
        <is>
          <t>33333</t>
        </is>
      </c>
      <c r="H33" s="21" t="n">
        <v>-16390000</v>
      </c>
      <c r="I33" s="21" t="n">
        <v>-282545683.81</v>
      </c>
      <c r="J33" s="15">
        <f>A33-A34</f>
        <v/>
      </c>
    </row>
    <row r="34">
      <c r="A34" s="29" t="n">
        <v>45980</v>
      </c>
      <c r="B34" s="26" t="inlineStr">
        <is>
          <t>120</t>
        </is>
      </c>
      <c r="C34" s="2" t="inlineStr">
        <is>
          <t>הוראת-קבע</t>
        </is>
      </c>
      <c r="D34" s="2" t="inlineStr"/>
      <c r="E34" s="26" t="inlineStr">
        <is>
          <t>600463544</t>
        </is>
      </c>
      <c r="F34" s="26" t="inlineStr">
        <is>
          <t>33333</t>
        </is>
      </c>
      <c r="H34" s="21" t="n">
        <v>32579758.22</v>
      </c>
      <c r="I34" s="21" t="n">
        <v>-246653162.07</v>
      </c>
      <c r="J34" s="15">
        <f>A34-A35</f>
        <v/>
      </c>
    </row>
    <row r="35">
      <c r="A35" s="29" t="n">
        <v>45979</v>
      </c>
      <c r="B35" s="26" t="inlineStr">
        <is>
          <t>120</t>
        </is>
      </c>
      <c r="C35" s="2" t="inlineStr">
        <is>
          <t>הוראת-קבע</t>
        </is>
      </c>
      <c r="D35" s="2" t="inlineStr"/>
      <c r="E35" s="26" t="inlineStr">
        <is>
          <t>600463552</t>
        </is>
      </c>
      <c r="F35" s="26" t="inlineStr">
        <is>
          <t>33333</t>
        </is>
      </c>
      <c r="H35" s="21" t="n">
        <v>-502323.03</v>
      </c>
      <c r="I35" s="21" t="n">
        <v>-279452492.89</v>
      </c>
      <c r="J35" s="15">
        <f>A35-A36</f>
        <v/>
      </c>
    </row>
    <row r="36">
      <c r="A36" s="29" t="n">
        <v>45978</v>
      </c>
      <c r="B36" s="26" t="inlineStr">
        <is>
          <t>120</t>
        </is>
      </c>
      <c r="C36" s="2" t="inlineStr">
        <is>
          <t>הוראת-קבע</t>
        </is>
      </c>
      <c r="D36" s="2" t="inlineStr"/>
      <c r="E36" s="26" t="inlineStr">
        <is>
          <t>600463544</t>
        </is>
      </c>
      <c r="F36" s="26" t="inlineStr">
        <is>
          <t>33333</t>
        </is>
      </c>
      <c r="H36" s="21" t="n">
        <v>-20.39</v>
      </c>
      <c r="I36" s="21" t="n">
        <v>-278950169.86</v>
      </c>
      <c r="J36" s="15">
        <f>A36-A37</f>
        <v/>
      </c>
    </row>
    <row r="37">
      <c r="A37" s="29" t="n">
        <v>45977</v>
      </c>
      <c r="B37" s="26" t="inlineStr">
        <is>
          <t>120</t>
        </is>
      </c>
      <c r="C37" s="2" t="inlineStr">
        <is>
          <t>הוראת-קבע</t>
        </is>
      </c>
      <c r="D37" s="2" t="inlineStr"/>
      <c r="E37" s="26" t="inlineStr">
        <is>
          <t>600463552</t>
        </is>
      </c>
      <c r="F37" s="26" t="inlineStr">
        <is>
          <t>33333</t>
        </is>
      </c>
      <c r="H37" s="21" t="n">
        <v>8772.08</v>
      </c>
      <c r="I37" s="21" t="n">
        <v>-278258752.47</v>
      </c>
      <c r="J37" s="15">
        <f>A37-A38</f>
        <v/>
      </c>
    </row>
    <row r="38">
      <c r="A38" s="29" t="n">
        <v>45975</v>
      </c>
      <c r="B38" s="26" t="inlineStr">
        <is>
          <t>120</t>
        </is>
      </c>
      <c r="C38" s="2" t="inlineStr">
        <is>
          <t>הוראת-קבע</t>
        </is>
      </c>
      <c r="D38" s="2" t="inlineStr"/>
      <c r="E38" s="26" t="inlineStr">
        <is>
          <t>600463552</t>
        </is>
      </c>
      <c r="F38" s="26" t="inlineStr">
        <is>
          <t>33333</t>
        </is>
      </c>
      <c r="H38" s="21" t="n">
        <v>52645.67</v>
      </c>
      <c r="I38" s="21" t="n">
        <v>-278267524.55</v>
      </c>
      <c r="J38" s="15">
        <f>A38-A39</f>
        <v/>
      </c>
    </row>
    <row r="39">
      <c r="A39" s="29" t="n">
        <v>45974</v>
      </c>
      <c r="B39" s="26" t="inlineStr">
        <is>
          <t>120</t>
        </is>
      </c>
      <c r="C39" s="2" t="inlineStr">
        <is>
          <t>הוראת-קבע</t>
        </is>
      </c>
      <c r="D39" s="2" t="inlineStr"/>
      <c r="E39" s="26" t="inlineStr">
        <is>
          <t>600463552</t>
        </is>
      </c>
      <c r="F39" s="26" t="inlineStr">
        <is>
          <t>33333</t>
        </is>
      </c>
      <c r="H39" s="21" t="n">
        <v>426649.25</v>
      </c>
      <c r="I39" s="21" t="n">
        <v>-278320170.22</v>
      </c>
      <c r="J39" s="15">
        <f>A39-A40</f>
        <v/>
      </c>
    </row>
    <row r="40">
      <c r="A40" s="29" t="n">
        <v>45973</v>
      </c>
      <c r="B40" s="26" t="inlineStr">
        <is>
          <t>120</t>
        </is>
      </c>
      <c r="C40" s="2" t="inlineStr">
        <is>
          <t>הוראת-קבע</t>
        </is>
      </c>
      <c r="D40" s="2" t="inlineStr"/>
      <c r="E40" s="26" t="inlineStr">
        <is>
          <t>600463552</t>
        </is>
      </c>
      <c r="F40" s="26" t="inlineStr">
        <is>
          <t>33333</t>
        </is>
      </c>
      <c r="H40" s="21" t="n">
        <v>-18296314.45</v>
      </c>
      <c r="I40" s="21" t="n">
        <v>-278746819.47</v>
      </c>
      <c r="J40" s="15">
        <f>A40-A41</f>
        <v/>
      </c>
    </row>
    <row r="41">
      <c r="A41" s="29" t="n">
        <v>45972</v>
      </c>
      <c r="B41" s="26" t="inlineStr">
        <is>
          <t>120</t>
        </is>
      </c>
      <c r="C41" s="2" t="inlineStr">
        <is>
          <t>הוראת-קבע</t>
        </is>
      </c>
      <c r="D41" s="2" t="inlineStr"/>
      <c r="E41" s="26" t="inlineStr">
        <is>
          <t>600463552</t>
        </is>
      </c>
      <c r="F41" s="26" t="inlineStr">
        <is>
          <t>33333</t>
        </is>
      </c>
      <c r="H41" s="21" t="n">
        <v>3389159.25</v>
      </c>
      <c r="I41" s="21" t="n">
        <v>-260450505.02</v>
      </c>
      <c r="J41" s="15">
        <f>A41-A42</f>
        <v/>
      </c>
    </row>
    <row r="42">
      <c r="A42" s="29" t="n">
        <v>45971</v>
      </c>
      <c r="B42" s="26" t="inlineStr">
        <is>
          <t>120</t>
        </is>
      </c>
      <c r="C42" s="2" t="inlineStr">
        <is>
          <t>הוראת-קבע</t>
        </is>
      </c>
      <c r="D42" s="2" t="inlineStr"/>
      <c r="E42" s="26" t="inlineStr">
        <is>
          <t>600463552</t>
        </is>
      </c>
      <c r="F42" s="26" t="inlineStr">
        <is>
          <t>33333</t>
        </is>
      </c>
      <c r="H42" s="21" t="n">
        <v>553649.7</v>
      </c>
      <c r="I42" s="21" t="n">
        <v>-263839664.27</v>
      </c>
      <c r="J42" s="15">
        <f>A42-A43</f>
        <v/>
      </c>
    </row>
    <row r="43">
      <c r="A43" s="29" t="n">
        <v>45966</v>
      </c>
      <c r="B43" s="26" t="inlineStr">
        <is>
          <t>120</t>
        </is>
      </c>
      <c r="C43" s="2" t="inlineStr">
        <is>
          <t>הוראת-קבע</t>
        </is>
      </c>
      <c r="D43" s="2" t="inlineStr"/>
      <c r="E43" s="26" t="inlineStr">
        <is>
          <t>600463552</t>
        </is>
      </c>
      <c r="F43" s="26" t="inlineStr">
        <is>
          <t>33333</t>
        </is>
      </c>
      <c r="H43" s="21" t="n">
        <v>-8334.610000000001</v>
      </c>
      <c r="I43" s="21" t="n">
        <v>-264393313.97</v>
      </c>
      <c r="J43" s="15">
        <f>A43-A44</f>
        <v/>
      </c>
    </row>
    <row r="44">
      <c r="A44" s="29" t="n">
        <v>45965</v>
      </c>
      <c r="B44" s="26" t="inlineStr">
        <is>
          <t>120</t>
        </is>
      </c>
      <c r="C44" s="2" t="inlineStr">
        <is>
          <t>הוראת-קבע</t>
        </is>
      </c>
      <c r="D44" s="2" t="inlineStr"/>
      <c r="E44" s="26" t="inlineStr">
        <is>
          <t>600463552</t>
        </is>
      </c>
      <c r="F44" s="26" t="inlineStr">
        <is>
          <t>33333</t>
        </is>
      </c>
      <c r="H44" s="21" t="n">
        <v>726726.28</v>
      </c>
      <c r="I44" s="21" t="n">
        <v>-265404746.39</v>
      </c>
      <c r="J44" s="15">
        <f>A44-A45</f>
        <v/>
      </c>
    </row>
    <row r="45">
      <c r="A45" s="29" t="n">
        <v>45964</v>
      </c>
      <c r="B45" s="26" t="inlineStr">
        <is>
          <t>120</t>
        </is>
      </c>
      <c r="C45" s="2" t="inlineStr">
        <is>
          <t>הוראת-קבע</t>
        </is>
      </c>
      <c r="D45" s="2" t="inlineStr"/>
      <c r="E45" s="26" t="inlineStr">
        <is>
          <t>600463552</t>
        </is>
      </c>
      <c r="F45" s="26" t="inlineStr">
        <is>
          <t>33333</t>
        </is>
      </c>
      <c r="H45" s="21" t="n">
        <v>-327112.94</v>
      </c>
      <c r="I45" s="21" t="n">
        <v>-266142970.17</v>
      </c>
      <c r="J45" s="15">
        <f>A45-A46</f>
        <v/>
      </c>
    </row>
    <row r="46">
      <c r="A46" s="29" t="n">
        <v>45963</v>
      </c>
      <c r="B46" s="26" t="inlineStr">
        <is>
          <t>120</t>
        </is>
      </c>
      <c r="C46" s="2" t="inlineStr">
        <is>
          <t>הוראת-קבע</t>
        </is>
      </c>
      <c r="D46" s="2" t="inlineStr"/>
      <c r="E46" s="26" t="inlineStr">
        <is>
          <t>600463552</t>
        </is>
      </c>
      <c r="F46" s="26" t="inlineStr">
        <is>
          <t>33333</t>
        </is>
      </c>
      <c r="H46" s="21" t="n">
        <v>-90.51000000000001</v>
      </c>
      <c r="I46" s="21" t="n">
        <v>-265815857.23</v>
      </c>
      <c r="J46" s="15">
        <f>A46-A47</f>
        <v/>
      </c>
    </row>
    <row r="47">
      <c r="A47" s="29" t="n">
        <v>45961</v>
      </c>
      <c r="B47" s="26" t="inlineStr">
        <is>
          <t>120</t>
        </is>
      </c>
      <c r="C47" s="2" t="inlineStr">
        <is>
          <t>הוראת-קבע</t>
        </is>
      </c>
      <c r="D47" s="2" t="inlineStr"/>
      <c r="E47" s="26" t="inlineStr">
        <is>
          <t>600463552</t>
        </is>
      </c>
      <c r="F47" s="26" t="inlineStr">
        <is>
          <t>33333</t>
        </is>
      </c>
      <c r="H47" s="21" t="n">
        <v>3894642.89</v>
      </c>
      <c r="I47" s="21" t="n">
        <v>-265815766.72</v>
      </c>
      <c r="J47" s="15">
        <f>A47-A48</f>
        <v/>
      </c>
    </row>
    <row r="48">
      <c r="A48" s="29" t="n">
        <v>45960</v>
      </c>
      <c r="B48" s="26" t="inlineStr">
        <is>
          <t>120</t>
        </is>
      </c>
      <c r="C48" s="2" t="inlineStr">
        <is>
          <t>הוראת-קבע</t>
        </is>
      </c>
      <c r="D48" s="2" t="inlineStr"/>
      <c r="E48" s="26" t="inlineStr">
        <is>
          <t>600463552</t>
        </is>
      </c>
      <c r="F48" s="26" t="inlineStr">
        <is>
          <t>33333</t>
        </is>
      </c>
      <c r="H48" s="21" t="n">
        <v>-31510998.93</v>
      </c>
      <c r="I48" s="21" t="n">
        <v>-271583792.49</v>
      </c>
      <c r="J48" s="15">
        <f>A48-A49</f>
        <v/>
      </c>
    </row>
    <row r="49">
      <c r="A49" s="29" t="n">
        <v>45959</v>
      </c>
      <c r="B49" s="26" t="inlineStr">
        <is>
          <t>120</t>
        </is>
      </c>
      <c r="C49" s="2" t="inlineStr">
        <is>
          <t>הוראת-קבע</t>
        </is>
      </c>
      <c r="D49" s="2" t="inlineStr"/>
      <c r="E49" s="26" t="inlineStr">
        <is>
          <t>600463552</t>
        </is>
      </c>
      <c r="F49" s="26" t="inlineStr">
        <is>
          <t>33333</t>
        </is>
      </c>
      <c r="H49" s="21" t="n">
        <v>525458.75</v>
      </c>
      <c r="I49" s="21" t="n">
        <v>-240072793.56</v>
      </c>
      <c r="J49" s="15">
        <f>A49-A50</f>
        <v/>
      </c>
    </row>
    <row r="50">
      <c r="A50" s="29" t="n">
        <v>45958</v>
      </c>
      <c r="B50" s="26" t="inlineStr">
        <is>
          <t>120</t>
        </is>
      </c>
      <c r="C50" s="2" t="inlineStr">
        <is>
          <t>הוראת-קבע</t>
        </is>
      </c>
      <c r="D50" s="2" t="inlineStr"/>
      <c r="E50" s="26" t="inlineStr">
        <is>
          <t>600463552</t>
        </is>
      </c>
      <c r="F50" s="26" t="inlineStr">
        <is>
          <t>33333</t>
        </is>
      </c>
      <c r="H50" s="21" t="n">
        <v>-6060127.93</v>
      </c>
      <c r="I50" s="21" t="n">
        <v>-240598252.31</v>
      </c>
      <c r="J50" s="15">
        <f>A50-A51</f>
        <v/>
      </c>
    </row>
    <row r="51">
      <c r="A51" s="29" t="n">
        <v>45957</v>
      </c>
      <c r="B51" s="26" t="inlineStr">
        <is>
          <t>120</t>
        </is>
      </c>
      <c r="C51" s="2" t="inlineStr">
        <is>
          <t>הוראת-קבע</t>
        </is>
      </c>
      <c r="D51" s="2" t="inlineStr"/>
      <c r="E51" s="26" t="inlineStr">
        <is>
          <t>600463552</t>
        </is>
      </c>
      <c r="F51" s="26" t="inlineStr">
        <is>
          <t>33333</t>
        </is>
      </c>
      <c r="H51" s="21" t="n">
        <v>1598999.03</v>
      </c>
      <c r="I51" s="21" t="n">
        <v>-234538124.38</v>
      </c>
      <c r="J51" s="15">
        <f>A51-A52</f>
        <v/>
      </c>
    </row>
    <row r="52">
      <c r="A52" s="29" t="n">
        <v>45956</v>
      </c>
      <c r="B52" s="26" t="inlineStr">
        <is>
          <t>120</t>
        </is>
      </c>
      <c r="C52" s="2" t="inlineStr">
        <is>
          <t>הוראת-קבע (תאריך ערך: 24/10)</t>
        </is>
      </c>
      <c r="D52" s="2" t="inlineStr"/>
      <c r="E52" s="26" t="inlineStr">
        <is>
          <t>600463544</t>
        </is>
      </c>
      <c r="F52" s="26" t="inlineStr">
        <is>
          <t>33333</t>
        </is>
      </c>
      <c r="H52" s="21" t="n">
        <v>-223763</v>
      </c>
      <c r="I52" s="21" t="n">
        <v>-236137123.41</v>
      </c>
      <c r="J52" s="15">
        <f>A52-A53</f>
        <v/>
      </c>
    </row>
    <row r="53">
      <c r="A53" s="29" t="n">
        <v>45954</v>
      </c>
      <c r="B53" s="26" t="inlineStr">
        <is>
          <t>120</t>
        </is>
      </c>
      <c r="C53" s="2" t="inlineStr">
        <is>
          <t>הוראת-קבע</t>
        </is>
      </c>
      <c r="D53" s="2" t="inlineStr"/>
      <c r="E53" s="26" t="inlineStr">
        <is>
          <t>600463552</t>
        </is>
      </c>
      <c r="F53" s="26" t="inlineStr">
        <is>
          <t>33333</t>
        </is>
      </c>
      <c r="H53" s="21" t="n">
        <v>1263870.37</v>
      </c>
      <c r="I53" s="21" t="n">
        <v>-236137123.41</v>
      </c>
      <c r="J53" s="15">
        <f>A53-A54</f>
        <v/>
      </c>
    </row>
    <row r="54">
      <c r="A54" s="29" t="n">
        <v>45953</v>
      </c>
      <c r="B54" s="26" t="inlineStr">
        <is>
          <t>120</t>
        </is>
      </c>
      <c r="C54" s="2" t="inlineStr">
        <is>
          <t>הוראת-קבע</t>
        </is>
      </c>
      <c r="D54" s="2" t="inlineStr"/>
      <c r="E54" s="26" t="inlineStr">
        <is>
          <t>600463552</t>
        </is>
      </c>
      <c r="F54" s="26" t="inlineStr">
        <is>
          <t>33333</t>
        </is>
      </c>
      <c r="H54" s="21" t="n">
        <v>-1179303.14</v>
      </c>
      <c r="I54" s="21" t="n">
        <v>-237400993.78</v>
      </c>
      <c r="J54" s="15">
        <f>A54-A55</f>
        <v/>
      </c>
    </row>
    <row r="55">
      <c r="A55" s="29" t="n">
        <v>45952</v>
      </c>
      <c r="B55" s="26" t="inlineStr">
        <is>
          <t>120</t>
        </is>
      </c>
      <c r="C55" s="2" t="inlineStr">
        <is>
          <t>הוראת-קבע</t>
        </is>
      </c>
      <c r="D55" s="2" t="inlineStr"/>
      <c r="E55" s="26" t="inlineStr">
        <is>
          <t>600463552</t>
        </is>
      </c>
      <c r="F55" s="26" t="inlineStr">
        <is>
          <t>33333</t>
        </is>
      </c>
      <c r="H55" s="21" t="n">
        <v>-949679.6800000001</v>
      </c>
      <c r="I55" s="21" t="n">
        <v>-236221690.64</v>
      </c>
      <c r="J55" s="15">
        <f>A55-A56</f>
        <v/>
      </c>
    </row>
    <row r="56">
      <c r="A56" s="29" t="n">
        <v>45951</v>
      </c>
      <c r="B56" s="26" t="inlineStr">
        <is>
          <t>120</t>
        </is>
      </c>
      <c r="C56" s="2" t="inlineStr">
        <is>
          <t>הוראת-קבע</t>
        </is>
      </c>
      <c r="D56" s="2" t="inlineStr"/>
      <c r="E56" s="26" t="inlineStr">
        <is>
          <t>600463552</t>
        </is>
      </c>
      <c r="F56" s="26" t="inlineStr">
        <is>
          <t>33333</t>
        </is>
      </c>
      <c r="H56" s="21" t="n">
        <v>476895.6</v>
      </c>
      <c r="I56" s="21" t="n">
        <v>-232686790.73</v>
      </c>
      <c r="J56" s="15">
        <f>A56-A57</f>
        <v/>
      </c>
    </row>
    <row r="57">
      <c r="A57" s="29" t="n">
        <v>45950</v>
      </c>
      <c r="B57" s="26" t="inlineStr">
        <is>
          <t>120</t>
        </is>
      </c>
      <c r="C57" s="2" t="inlineStr">
        <is>
          <t>הוראת-קבע</t>
        </is>
      </c>
      <c r="D57" s="2" t="inlineStr"/>
      <c r="E57" s="26" t="inlineStr">
        <is>
          <t>600463552</t>
        </is>
      </c>
      <c r="F57" s="26" t="inlineStr">
        <is>
          <t>33333</t>
        </is>
      </c>
      <c r="H57" s="21" t="n">
        <v>641662.96</v>
      </c>
      <c r="I57" s="21" t="n">
        <v>-233163686.33</v>
      </c>
      <c r="J57" s="15">
        <f>A57-A58</f>
        <v/>
      </c>
    </row>
    <row r="58">
      <c r="A58" s="29" t="n">
        <v>45949</v>
      </c>
      <c r="B58" s="26" t="inlineStr">
        <is>
          <t>120</t>
        </is>
      </c>
      <c r="C58" s="2" t="inlineStr">
        <is>
          <t>הוראת-קבע</t>
        </is>
      </c>
      <c r="D58" s="2" t="inlineStr"/>
      <c r="E58" s="26" t="inlineStr">
        <is>
          <t>600463552</t>
        </is>
      </c>
      <c r="F58" s="26" t="inlineStr">
        <is>
          <t>33333</t>
        </is>
      </c>
      <c r="H58" s="21" t="n">
        <v>-6.82</v>
      </c>
      <c r="I58" s="21" t="n">
        <v>-233805349.29</v>
      </c>
      <c r="J58" s="15">
        <f>A58-A59</f>
        <v/>
      </c>
    </row>
    <row r="59">
      <c r="A59" s="29" t="n">
        <v>45947</v>
      </c>
      <c r="B59" s="26" t="inlineStr">
        <is>
          <t>120</t>
        </is>
      </c>
      <c r="C59" s="2" t="inlineStr">
        <is>
          <t>הוראת-קבע</t>
        </is>
      </c>
      <c r="D59" s="2" t="inlineStr"/>
      <c r="E59" s="26" t="inlineStr">
        <is>
          <t>600463552</t>
        </is>
      </c>
      <c r="F59" s="26" t="inlineStr">
        <is>
          <t>33333</t>
        </is>
      </c>
      <c r="H59" s="21" t="n">
        <v>-1104181.82</v>
      </c>
      <c r="I59" s="21" t="n">
        <v>-233805342.47</v>
      </c>
      <c r="J59" s="15">
        <f>A59-A60</f>
        <v/>
      </c>
    </row>
    <row r="60">
      <c r="A60" s="29" t="n">
        <v>45946</v>
      </c>
      <c r="B60" s="26" t="inlineStr">
        <is>
          <t>120</t>
        </is>
      </c>
      <c r="C60" s="2" t="inlineStr">
        <is>
          <t>הוראת-קבע</t>
        </is>
      </c>
      <c r="D60" s="2" t="inlineStr"/>
      <c r="E60" s="26" t="inlineStr">
        <is>
          <t>600463552</t>
        </is>
      </c>
      <c r="F60" s="26" t="inlineStr">
        <is>
          <t>33333</t>
        </is>
      </c>
      <c r="H60" s="21" t="n">
        <v>-4308299.92</v>
      </c>
      <c r="I60" s="21" t="n">
        <v>-232701160.65</v>
      </c>
      <c r="J60" s="15">
        <f>A60-A61</f>
        <v/>
      </c>
    </row>
    <row r="61">
      <c r="A61" s="29" t="n">
        <v>45945</v>
      </c>
      <c r="B61" s="26" t="inlineStr">
        <is>
          <t>120</t>
        </is>
      </c>
      <c r="C61" s="2" t="inlineStr">
        <is>
          <t>הוראת-קבע</t>
        </is>
      </c>
      <c r="D61" s="2" t="inlineStr"/>
      <c r="E61" s="26" t="inlineStr">
        <is>
          <t>600463544</t>
        </is>
      </c>
      <c r="F61" s="26" t="inlineStr">
        <is>
          <t>33333</t>
        </is>
      </c>
      <c r="H61" s="21" t="n">
        <v>-4109.74</v>
      </c>
      <c r="I61" s="21" t="n">
        <v>-233106875.19</v>
      </c>
      <c r="J61" s="15">
        <f>A61-A62</f>
        <v/>
      </c>
    </row>
    <row r="62">
      <c r="A62" s="29" t="n">
        <v>45943</v>
      </c>
      <c r="B62" s="26" t="inlineStr">
        <is>
          <t>120</t>
        </is>
      </c>
      <c r="C62" s="2" t="inlineStr">
        <is>
          <t>הוראת-קבע</t>
        </is>
      </c>
      <c r="D62" s="2" t="inlineStr"/>
      <c r="E62" s="26" t="inlineStr">
        <is>
          <t>600463552</t>
        </is>
      </c>
      <c r="F62" s="26" t="inlineStr">
        <is>
          <t>33333</t>
        </is>
      </c>
      <c r="H62" s="21" t="n">
        <v>-723753.33</v>
      </c>
      <c r="I62" s="21" t="n">
        <v>-237894210.26</v>
      </c>
      <c r="J62" s="15">
        <f>A62-A63</f>
        <v/>
      </c>
    </row>
    <row r="63">
      <c r="A63" s="29" t="n">
        <v>45942</v>
      </c>
      <c r="B63" s="26" t="inlineStr">
        <is>
          <t>120</t>
        </is>
      </c>
      <c r="C63" s="2" t="inlineStr">
        <is>
          <t>הוראת-קבע</t>
        </is>
      </c>
      <c r="D63" s="2" t="inlineStr"/>
      <c r="E63" s="26" t="inlineStr">
        <is>
          <t>600463552</t>
        </is>
      </c>
      <c r="F63" s="26" t="inlineStr">
        <is>
          <t>33333</t>
        </is>
      </c>
      <c r="H63" s="21" t="n">
        <v>-0.33</v>
      </c>
      <c r="I63" s="21" t="n">
        <v>-237170456.93</v>
      </c>
      <c r="J63" s="15">
        <f>A63-A64</f>
        <v/>
      </c>
    </row>
    <row r="64">
      <c r="A64" s="29" t="n">
        <v>45940</v>
      </c>
      <c r="B64" s="26" t="inlineStr">
        <is>
          <t>120</t>
        </is>
      </c>
      <c r="C64" s="2" t="inlineStr">
        <is>
          <t>הוראת-קבע</t>
        </is>
      </c>
      <c r="D64" s="2" t="inlineStr"/>
      <c r="E64" s="26" t="inlineStr">
        <is>
          <t>600463552</t>
        </is>
      </c>
      <c r="F64" s="26" t="inlineStr">
        <is>
          <t>33333</t>
        </is>
      </c>
      <c r="H64" s="21" t="n">
        <v>2670918.23</v>
      </c>
      <c r="I64" s="21" t="n">
        <v>-237170456.6</v>
      </c>
      <c r="J64" s="15">
        <f>A64-A65</f>
        <v/>
      </c>
    </row>
    <row r="65">
      <c r="A65" s="29" t="n">
        <v>45939</v>
      </c>
      <c r="B65" s="26" t="inlineStr">
        <is>
          <t>120</t>
        </is>
      </c>
      <c r="C65" s="2" t="inlineStr">
        <is>
          <t>הוראת-קבע</t>
        </is>
      </c>
      <c r="D65" s="2" t="inlineStr"/>
      <c r="E65" s="26" t="inlineStr">
        <is>
          <t>600463544</t>
        </is>
      </c>
      <c r="F65" s="26" t="inlineStr">
        <is>
          <t>33333</t>
        </is>
      </c>
      <c r="H65" s="21" t="n">
        <v>-241.39</v>
      </c>
      <c r="I65" s="21" t="n">
        <v>-239841374.83</v>
      </c>
      <c r="J65" s="15">
        <f>A65-A66</f>
        <v/>
      </c>
    </row>
    <row r="66">
      <c r="A66" s="29" t="n">
        <v>45938</v>
      </c>
      <c r="B66" s="26" t="inlineStr">
        <is>
          <t>120</t>
        </is>
      </c>
      <c r="C66" s="2" t="inlineStr">
        <is>
          <t>הוראת-קבע</t>
        </is>
      </c>
      <c r="D66" s="2" t="inlineStr"/>
      <c r="E66" s="26" t="inlineStr">
        <is>
          <t>600463544</t>
        </is>
      </c>
      <c r="F66" s="26" t="inlineStr">
        <is>
          <t>33333</t>
        </is>
      </c>
      <c r="H66" s="21" t="n">
        <v>42207.01</v>
      </c>
      <c r="I66" s="21" t="n">
        <v>-240834604.23</v>
      </c>
      <c r="J66" s="15">
        <f>A66-A67</f>
        <v/>
      </c>
    </row>
    <row r="67">
      <c r="A67" s="29" t="n">
        <v>45936</v>
      </c>
      <c r="B67" s="26" t="inlineStr">
        <is>
          <t>120</t>
        </is>
      </c>
      <c r="C67" s="2" t="inlineStr">
        <is>
          <t>הוראת-קבע</t>
        </is>
      </c>
      <c r="D67" s="2" t="inlineStr"/>
      <c r="E67" s="26" t="inlineStr">
        <is>
          <t>600463552</t>
        </is>
      </c>
      <c r="F67" s="26" t="inlineStr">
        <is>
          <t>33333</t>
        </is>
      </c>
      <c r="H67" s="21" t="n">
        <v>15066221</v>
      </c>
      <c r="I67" s="21" t="n">
        <v>-243165547.73</v>
      </c>
      <c r="J67" s="15">
        <f>A67-A68</f>
        <v/>
      </c>
    </row>
    <row r="68">
      <c r="A68" s="29" t="n">
        <v>45935</v>
      </c>
      <c r="B68" s="26" t="inlineStr">
        <is>
          <t>120</t>
        </is>
      </c>
      <c r="C68" s="2" t="inlineStr">
        <is>
          <t>הוראת-קבע</t>
        </is>
      </c>
      <c r="D68" s="2" t="inlineStr"/>
      <c r="E68" s="26" t="inlineStr">
        <is>
          <t>600463552</t>
        </is>
      </c>
      <c r="F68" s="26" t="inlineStr">
        <is>
          <t>33333</t>
        </is>
      </c>
      <c r="H68" s="21" t="n">
        <v>5047500</v>
      </c>
      <c r="I68" s="21" t="n">
        <v>-256281670.31</v>
      </c>
      <c r="J68" s="15">
        <f>A68-A69</f>
        <v/>
      </c>
    </row>
    <row r="69">
      <c r="A69" s="29" t="n">
        <v>45933</v>
      </c>
      <c r="B69" s="26" t="inlineStr">
        <is>
          <t>120</t>
        </is>
      </c>
      <c r="C69" s="2" t="inlineStr">
        <is>
          <t>הוראת-קבע</t>
        </is>
      </c>
      <c r="D69" s="2" t="inlineStr"/>
      <c r="E69" s="26" t="inlineStr">
        <is>
          <t>600463544</t>
        </is>
      </c>
      <c r="F69" s="26" t="inlineStr">
        <is>
          <t>33333</t>
        </is>
      </c>
      <c r="H69" s="21" t="n">
        <v>-18488.62</v>
      </c>
      <c r="I69" s="21" t="n">
        <v>-261329170.31</v>
      </c>
      <c r="J69" s="15">
        <f>A69-A70</f>
        <v/>
      </c>
    </row>
    <row r="70">
      <c r="A70" s="29" t="n">
        <v>45931</v>
      </c>
      <c r="B70" s="26" t="inlineStr">
        <is>
          <t>120</t>
        </is>
      </c>
      <c r="C70" s="2" t="inlineStr">
        <is>
          <t>הוראת-קבע</t>
        </is>
      </c>
      <c r="D70" s="2" t="inlineStr"/>
      <c r="E70" s="26" t="inlineStr">
        <is>
          <t>600463544</t>
        </is>
      </c>
      <c r="F70" s="26" t="inlineStr">
        <is>
          <t>33333</t>
        </is>
      </c>
      <c r="H70" s="21" t="n">
        <v>57058.28</v>
      </c>
      <c r="I70" s="21" t="n">
        <v>-257574127.65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N7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</cols>
  <sheetData>
    <row r="3">
      <c r="A3" s="4" t="inlineStr">
        <is>
          <t>תנועות בחשבון</t>
        </is>
      </c>
      <c r="K3" s="5" t="n">
        <v>0.0485</v>
      </c>
      <c r="L3" s="5" t="n">
        <v>0.046</v>
      </c>
    </row>
    <row r="4">
      <c r="A4" s="29" t="n">
        <v>46022</v>
      </c>
      <c r="B4" s="26" t="inlineStr">
        <is>
          <t>120</t>
        </is>
      </c>
      <c r="C4" s="2" t="inlineStr">
        <is>
          <t>הוראת-קבע</t>
        </is>
      </c>
      <c r="D4" s="2" t="inlineStr"/>
      <c r="E4" s="26" t="inlineStr">
        <is>
          <t>600463552</t>
        </is>
      </c>
      <c r="F4" s="26" t="inlineStr">
        <is>
          <t>33333</t>
        </is>
      </c>
      <c r="H4" s="21" t="n">
        <v>757980.48</v>
      </c>
      <c r="I4" s="21" t="n">
        <v>-341908326.47</v>
      </c>
      <c r="J4" s="15" t="n">
        <v>1</v>
      </c>
      <c r="L4" s="20">
        <f>I4/365*J4*$L$3</f>
        <v/>
      </c>
    </row>
    <row r="5">
      <c r="A5" s="29" t="n">
        <v>46021</v>
      </c>
      <c r="B5" s="26" t="inlineStr">
        <is>
          <t>120</t>
        </is>
      </c>
      <c r="C5" s="2" t="inlineStr">
        <is>
          <t>הוראת-קבע</t>
        </is>
      </c>
      <c r="D5" s="2" t="inlineStr"/>
      <c r="E5" s="26" t="inlineStr">
        <is>
          <t>600463552</t>
        </is>
      </c>
      <c r="F5" s="26" t="inlineStr">
        <is>
          <t>33333</t>
        </is>
      </c>
      <c r="H5" s="21" t="n">
        <v>-525990.47</v>
      </c>
      <c r="I5" s="21" t="n">
        <v>-344812715.24</v>
      </c>
      <c r="J5" s="15">
        <f>A4-A5</f>
        <v/>
      </c>
      <c r="L5" s="20">
        <f>I5/365*J5*$L$3</f>
        <v/>
      </c>
    </row>
    <row r="6">
      <c r="A6" s="29" t="n">
        <v>46020</v>
      </c>
      <c r="B6" s="26" t="inlineStr">
        <is>
          <t>120</t>
        </is>
      </c>
      <c r="C6" s="2" t="inlineStr">
        <is>
          <t>הוראת-קבע</t>
        </is>
      </c>
      <c r="D6" s="2" t="inlineStr"/>
      <c r="E6" s="26" t="inlineStr">
        <is>
          <t>600463552</t>
        </is>
      </c>
      <c r="F6" s="26" t="inlineStr">
        <is>
          <t>33333</t>
        </is>
      </c>
      <c r="H6" s="21" t="n">
        <v>-26965549.05</v>
      </c>
      <c r="I6" s="21" t="n">
        <v>-342163647</v>
      </c>
      <c r="J6" s="15">
        <f>A5-A6</f>
        <v/>
      </c>
      <c r="L6" s="20">
        <f>I6/365*J6*$L$3</f>
        <v/>
      </c>
    </row>
    <row r="7">
      <c r="A7" s="29" t="n">
        <v>46014</v>
      </c>
      <c r="B7" s="26" t="inlineStr">
        <is>
          <t>120</t>
        </is>
      </c>
      <c r="C7" s="2" t="inlineStr">
        <is>
          <t>הוראת-קבע</t>
        </is>
      </c>
      <c r="D7" s="2" t="inlineStr"/>
      <c r="E7" s="26" t="inlineStr">
        <is>
          <t>600463544</t>
        </is>
      </c>
      <c r="F7" s="26" t="inlineStr">
        <is>
          <t>33333</t>
        </is>
      </c>
      <c r="H7" s="21" t="n">
        <v>-385024</v>
      </c>
      <c r="I7" s="21" t="n">
        <v>-315200175.22</v>
      </c>
      <c r="J7" s="15">
        <f>A6-A7</f>
        <v/>
      </c>
      <c r="L7" s="20">
        <f>I7/365*J7*$L$3</f>
        <v/>
      </c>
    </row>
    <row r="8">
      <c r="A8" s="29" t="n">
        <v>46013</v>
      </c>
      <c r="B8" s="26" t="inlineStr">
        <is>
          <t>120</t>
        </is>
      </c>
      <c r="C8" s="2" t="inlineStr">
        <is>
          <t>הוראת-קבע</t>
        </is>
      </c>
      <c r="D8" s="2" t="inlineStr"/>
      <c r="E8" s="26" t="inlineStr">
        <is>
          <t>600463552</t>
        </is>
      </c>
      <c r="F8" s="26" t="inlineStr">
        <is>
          <t>33333</t>
        </is>
      </c>
      <c r="H8" s="21" t="n">
        <v>3450562.9</v>
      </c>
      <c r="I8" s="21" t="n">
        <v>-314801425.03</v>
      </c>
      <c r="J8" s="15">
        <f>A7-A8</f>
        <v/>
      </c>
      <c r="L8" s="20">
        <f>I8/365*J8*$L$3</f>
        <v/>
      </c>
    </row>
    <row r="9">
      <c r="A9" s="29" t="n">
        <v>46010</v>
      </c>
      <c r="B9" s="26" t="inlineStr">
        <is>
          <t>120</t>
        </is>
      </c>
      <c r="C9" s="2" t="inlineStr">
        <is>
          <t>הוראת-קבע</t>
        </is>
      </c>
      <c r="D9" s="2" t="inlineStr"/>
      <c r="E9" s="26" t="inlineStr">
        <is>
          <t>600463552</t>
        </is>
      </c>
      <c r="F9" s="26" t="inlineStr">
        <is>
          <t>33333</t>
        </is>
      </c>
      <c r="H9" s="21" t="n">
        <v>-3656625.65</v>
      </c>
      <c r="I9" s="21" t="n">
        <v>-318251987.93</v>
      </c>
      <c r="J9" s="15">
        <f>A8-A9</f>
        <v/>
      </c>
      <c r="L9" s="20">
        <f>I9/365*J9*$L$3</f>
        <v/>
      </c>
    </row>
    <row r="10">
      <c r="A10" s="29" t="n">
        <v>46009</v>
      </c>
      <c r="B10" s="26" t="inlineStr">
        <is>
          <t>120</t>
        </is>
      </c>
      <c r="C10" s="2" t="inlineStr">
        <is>
          <t>הוראת-קבע</t>
        </is>
      </c>
      <c r="D10" s="2" t="inlineStr"/>
      <c r="E10" s="26" t="inlineStr">
        <is>
          <t>600463544</t>
        </is>
      </c>
      <c r="F10" s="26" t="inlineStr">
        <is>
          <t>33333</t>
        </is>
      </c>
      <c r="H10" s="21" t="n">
        <v>154495.6</v>
      </c>
      <c r="I10" s="21" t="n">
        <v>-314595362.28</v>
      </c>
      <c r="J10" s="15">
        <f>A9-A10</f>
        <v/>
      </c>
      <c r="L10" s="20">
        <f>I10/365*J10*$L$3</f>
        <v/>
      </c>
    </row>
    <row r="11">
      <c r="A11" s="29" t="n">
        <v>46008</v>
      </c>
      <c r="B11" s="26" t="inlineStr">
        <is>
          <t>120</t>
        </is>
      </c>
      <c r="C11" s="2" t="inlineStr">
        <is>
          <t>הוראת-קבע</t>
        </is>
      </c>
      <c r="D11" s="2" t="inlineStr"/>
      <c r="E11" s="26" t="inlineStr">
        <is>
          <t>600463552</t>
        </is>
      </c>
      <c r="F11" s="26" t="inlineStr">
        <is>
          <t>33333</t>
        </is>
      </c>
      <c r="H11" s="21" t="n">
        <v>159642134.36</v>
      </c>
      <c r="I11" s="21" t="n">
        <v>-314759052.38</v>
      </c>
      <c r="J11" s="15">
        <f>A10-A11</f>
        <v/>
      </c>
      <c r="L11" s="20">
        <f>I11/365*J11*$L$3</f>
        <v/>
      </c>
    </row>
    <row r="12">
      <c r="A12" s="29" t="n">
        <v>46007</v>
      </c>
      <c r="B12" s="26" t="inlineStr">
        <is>
          <t>120</t>
        </is>
      </c>
      <c r="C12" s="2" t="inlineStr">
        <is>
          <t>הוראת-קבע</t>
        </is>
      </c>
      <c r="D12" s="2" t="inlineStr"/>
      <c r="E12" s="26" t="inlineStr">
        <is>
          <t>600463544</t>
        </is>
      </c>
      <c r="F12" s="26" t="inlineStr">
        <is>
          <t>33333</t>
        </is>
      </c>
      <c r="H12" s="21" t="n">
        <v>-154491.76</v>
      </c>
      <c r="I12" s="21" t="n">
        <v>-474401186.74</v>
      </c>
      <c r="J12" s="15">
        <f>A11-A12</f>
        <v/>
      </c>
      <c r="L12" s="20">
        <f>I12/365*J12*$L$3</f>
        <v/>
      </c>
    </row>
    <row r="13">
      <c r="A13" s="29" t="n">
        <v>46006</v>
      </c>
      <c r="B13" s="26" t="inlineStr">
        <is>
          <t>120</t>
        </is>
      </c>
      <c r="C13" s="2" t="inlineStr">
        <is>
          <t>הוראת-קבע</t>
        </is>
      </c>
      <c r="D13" s="2" t="inlineStr"/>
      <c r="E13" s="26" t="inlineStr">
        <is>
          <t>600463552</t>
        </is>
      </c>
      <c r="F13" s="26" t="inlineStr">
        <is>
          <t>33333</t>
        </is>
      </c>
      <c r="H13" s="21" t="n">
        <v>7814583.14</v>
      </c>
      <c r="I13" s="21" t="n">
        <v>-315050891.98</v>
      </c>
      <c r="J13" s="15">
        <f>A12-A13</f>
        <v/>
      </c>
      <c r="L13" s="20">
        <f>I13/365*J13*$L$3</f>
        <v/>
      </c>
    </row>
    <row r="14">
      <c r="A14" s="29" t="n">
        <v>46003</v>
      </c>
      <c r="B14" s="26" t="inlineStr">
        <is>
          <t>120</t>
        </is>
      </c>
      <c r="C14" s="2" t="inlineStr">
        <is>
          <t>הוראת-קבע</t>
        </is>
      </c>
      <c r="D14" s="2" t="inlineStr"/>
      <c r="E14" s="26" t="inlineStr">
        <is>
          <t>600463552</t>
        </is>
      </c>
      <c r="F14" s="26" t="inlineStr">
        <is>
          <t>33333</t>
        </is>
      </c>
      <c r="H14" s="21" t="n">
        <v>52459577.56</v>
      </c>
      <c r="I14" s="21" t="n">
        <v>-322865475.12</v>
      </c>
      <c r="J14" s="15">
        <f>A13-A14</f>
        <v/>
      </c>
      <c r="L14" s="20">
        <f>I14/365*J14*$L$3</f>
        <v/>
      </c>
    </row>
    <row r="15">
      <c r="A15" s="29" t="n">
        <v>46002</v>
      </c>
      <c r="B15" s="26" t="inlineStr">
        <is>
          <t>120</t>
        </is>
      </c>
      <c r="C15" s="2" t="inlineStr">
        <is>
          <t>הוראת-קבע</t>
        </is>
      </c>
      <c r="D15" s="2" t="inlineStr"/>
      <c r="E15" s="26" t="inlineStr">
        <is>
          <t>600463552</t>
        </is>
      </c>
      <c r="F15" s="26" t="inlineStr">
        <is>
          <t>33333</t>
        </is>
      </c>
      <c r="H15" s="21" t="n">
        <v>-52261200</v>
      </c>
      <c r="I15" s="21" t="n">
        <v>-375325052.68</v>
      </c>
      <c r="J15" s="15">
        <f>A14-A15</f>
        <v/>
      </c>
      <c r="L15" s="20">
        <f>I15/365*J15*$L$3</f>
        <v/>
      </c>
    </row>
    <row r="16">
      <c r="A16" s="29" t="n">
        <v>46001</v>
      </c>
      <c r="B16" s="26" t="inlineStr">
        <is>
          <t>120</t>
        </is>
      </c>
      <c r="C16" s="2" t="inlineStr">
        <is>
          <t>הוראת-קבע</t>
        </is>
      </c>
      <c r="D16" s="2" t="inlineStr"/>
      <c r="E16" s="26" t="inlineStr">
        <is>
          <t>600463552</t>
        </is>
      </c>
      <c r="F16" s="26" t="inlineStr">
        <is>
          <t>33333</t>
        </is>
      </c>
      <c r="H16" s="21" t="n">
        <v>-117419.9</v>
      </c>
      <c r="I16" s="21" t="n">
        <v>-323063852.68</v>
      </c>
      <c r="J16" s="15">
        <f>A15-A16</f>
        <v/>
      </c>
      <c r="L16" s="20">
        <f>I16/365*J16*$L$3</f>
        <v/>
      </c>
    </row>
    <row r="17">
      <c r="A17" s="29" t="n">
        <v>46000</v>
      </c>
      <c r="B17" s="26" t="inlineStr">
        <is>
          <t>120</t>
        </is>
      </c>
      <c r="C17" s="2" t="inlineStr">
        <is>
          <t>הוראת-קבע</t>
        </is>
      </c>
      <c r="D17" s="2" t="inlineStr"/>
      <c r="E17" s="26" t="inlineStr">
        <is>
          <t>600463552</t>
        </is>
      </c>
      <c r="F17" s="26" t="inlineStr">
        <is>
          <t>33333</t>
        </is>
      </c>
      <c r="H17" s="21" t="n">
        <v>-53084593.55</v>
      </c>
      <c r="I17" s="21" t="n">
        <v>-322946432.78</v>
      </c>
      <c r="J17" s="15">
        <f>A16-A17</f>
        <v/>
      </c>
      <c r="L17" s="20">
        <f>I17/365*J17*$L$3</f>
        <v/>
      </c>
    </row>
    <row r="18">
      <c r="A18" s="29" t="n">
        <v>45999</v>
      </c>
      <c r="B18" s="26" t="inlineStr">
        <is>
          <t>120</t>
        </is>
      </c>
      <c r="C18" s="2" t="inlineStr">
        <is>
          <t>הוראת-קבע</t>
        </is>
      </c>
      <c r="D18" s="2" t="inlineStr"/>
      <c r="E18" s="26" t="inlineStr">
        <is>
          <t>600463552</t>
        </is>
      </c>
      <c r="F18" s="26" t="inlineStr">
        <is>
          <t>33333</t>
        </is>
      </c>
      <c r="H18" s="21" t="n">
        <v>-162895353.51</v>
      </c>
      <c r="I18" s="21" t="n">
        <v>-269861839.23</v>
      </c>
      <c r="J18" s="15">
        <f>A17-A18</f>
        <v/>
      </c>
      <c r="L18" s="20">
        <f>I18/365*J18*$L$3</f>
        <v/>
      </c>
    </row>
    <row r="19">
      <c r="A19" s="29" t="n">
        <v>45996</v>
      </c>
      <c r="B19" s="26" t="inlineStr">
        <is>
          <t>120</t>
        </is>
      </c>
      <c r="C19" s="2" t="inlineStr">
        <is>
          <t>הוראת-קבע</t>
        </is>
      </c>
      <c r="D19" s="2" t="inlineStr"/>
      <c r="E19" s="26" t="inlineStr">
        <is>
          <t>600463552</t>
        </is>
      </c>
      <c r="F19" s="26" t="inlineStr">
        <is>
          <t>33333</t>
        </is>
      </c>
      <c r="H19" s="21" t="n">
        <v>163825275.4</v>
      </c>
      <c r="I19" s="21" t="n">
        <v>-106966485.72</v>
      </c>
      <c r="J19" s="15">
        <f>A18-A19</f>
        <v/>
      </c>
      <c r="L19" s="20">
        <f>I19/365*J19*$L$3</f>
        <v/>
      </c>
    </row>
    <row r="20">
      <c r="A20" s="29" t="n">
        <v>45995</v>
      </c>
      <c r="B20" s="26" t="inlineStr">
        <is>
          <t>120</t>
        </is>
      </c>
      <c r="C20" s="2" t="inlineStr">
        <is>
          <t>הוראת-קבע</t>
        </is>
      </c>
      <c r="D20" s="2" t="inlineStr"/>
      <c r="E20" s="26" t="inlineStr">
        <is>
          <t>600463552</t>
        </is>
      </c>
      <c r="F20" s="26" t="inlineStr">
        <is>
          <t>33333</t>
        </is>
      </c>
      <c r="H20" s="21" t="n">
        <v>162283967.03</v>
      </c>
      <c r="I20" s="21" t="n">
        <v>-270791761.12</v>
      </c>
      <c r="J20" s="15">
        <f>A19-A20</f>
        <v/>
      </c>
      <c r="L20" s="20">
        <f>I20/365*J20*$L$3</f>
        <v/>
      </c>
    </row>
    <row r="21">
      <c r="A21" s="29" t="n">
        <v>45994</v>
      </c>
      <c r="B21" s="26" t="inlineStr">
        <is>
          <t>120</t>
        </is>
      </c>
      <c r="C21" s="2" t="inlineStr">
        <is>
          <t>הוראת-קבע</t>
        </is>
      </c>
      <c r="D21" s="2" t="inlineStr"/>
      <c r="E21" s="26" t="inlineStr">
        <is>
          <t>600463552</t>
        </is>
      </c>
      <c r="F21" s="26" t="inlineStr">
        <is>
          <t>33333</t>
        </is>
      </c>
      <c r="H21" s="21" t="n">
        <v>-79701556.31</v>
      </c>
      <c r="I21" s="21" t="n">
        <v>-433075728.15</v>
      </c>
      <c r="J21" s="15">
        <f>A20-A21</f>
        <v/>
      </c>
      <c r="L21" s="20">
        <f>I21/365*J21*$L$3</f>
        <v/>
      </c>
    </row>
    <row r="22">
      <c r="A22" s="29" t="n">
        <v>45993</v>
      </c>
      <c r="B22" s="26" t="inlineStr">
        <is>
          <t>120</t>
        </is>
      </c>
      <c r="C22" s="2" t="inlineStr">
        <is>
          <t>הוראת-קבע</t>
        </is>
      </c>
      <c r="D22" s="2" t="inlineStr"/>
      <c r="E22" s="26" t="inlineStr">
        <is>
          <t>600463552</t>
        </is>
      </c>
      <c r="F22" s="26" t="inlineStr">
        <is>
          <t>33333</t>
        </is>
      </c>
      <c r="H22" s="21" t="n">
        <v>-80869316.83</v>
      </c>
      <c r="I22" s="21" t="n">
        <v>-353374171.84</v>
      </c>
      <c r="J22" s="15">
        <f>A21-A22</f>
        <v/>
      </c>
      <c r="L22" s="20">
        <f>I22/365*J22*$L$3</f>
        <v/>
      </c>
    </row>
    <row r="23">
      <c r="A23" s="29" t="n">
        <v>45992</v>
      </c>
      <c r="B23" s="26" t="inlineStr">
        <is>
          <t>120</t>
        </is>
      </c>
      <c r="C23" s="2" t="inlineStr">
        <is>
          <t>הוראת-קבע</t>
        </is>
      </c>
      <c r="D23" s="2" t="inlineStr"/>
      <c r="E23" s="26" t="inlineStr">
        <is>
          <t>600463552</t>
        </is>
      </c>
      <c r="F23" s="26" t="inlineStr">
        <is>
          <t>33333</t>
        </is>
      </c>
      <c r="H23" s="21" t="n">
        <v>-506368.97</v>
      </c>
      <c r="I23" s="21" t="n">
        <v>-272505336.37</v>
      </c>
      <c r="J23" s="15">
        <f>A22-A23</f>
        <v/>
      </c>
      <c r="L23" s="20">
        <f>I23/365*J23*$L$3</f>
        <v/>
      </c>
    </row>
    <row r="24">
      <c r="A24" s="29" t="n">
        <v>45991</v>
      </c>
      <c r="B24" s="26" t="inlineStr">
        <is>
          <t>120</t>
        </is>
      </c>
      <c r="C24" s="2" t="inlineStr">
        <is>
          <t>הוראת-קבע</t>
        </is>
      </c>
      <c r="D24" s="2" t="inlineStr"/>
      <c r="E24" s="26" t="inlineStr">
        <is>
          <t>600463552</t>
        </is>
      </c>
      <c r="F24" s="26" t="inlineStr">
        <is>
          <t>33333</t>
        </is>
      </c>
      <c r="H24" s="21" t="n">
        <v>66986821.6</v>
      </c>
      <c r="I24" s="21" t="n">
        <v>-271998967.4</v>
      </c>
      <c r="J24" s="15">
        <f>A23-A24</f>
        <v/>
      </c>
      <c r="L24" s="20">
        <f>I24/365*J24*$L$3</f>
        <v/>
      </c>
    </row>
    <row r="25">
      <c r="A25" s="29" t="n">
        <v>45989</v>
      </c>
      <c r="B25" s="26" t="inlineStr">
        <is>
          <t>120</t>
        </is>
      </c>
      <c r="C25" s="2" t="inlineStr">
        <is>
          <t>הוראת-קבע</t>
        </is>
      </c>
      <c r="D25" s="2" t="inlineStr"/>
      <c r="E25" s="26" t="inlineStr">
        <is>
          <t>600463552</t>
        </is>
      </c>
      <c r="F25" s="26" t="inlineStr">
        <is>
          <t>33333</t>
        </is>
      </c>
      <c r="H25" s="21" t="n">
        <v>1087777.21</v>
      </c>
      <c r="I25" s="21" t="n">
        <v>-338985789</v>
      </c>
      <c r="J25" s="15">
        <f>A24-A25</f>
        <v/>
      </c>
      <c r="L25" s="20">
        <f>I25/365*J25*$L$3</f>
        <v/>
      </c>
    </row>
    <row r="26">
      <c r="A26" s="29" t="n">
        <v>45988</v>
      </c>
      <c r="B26" s="26" t="inlineStr">
        <is>
          <t>120</t>
        </is>
      </c>
      <c r="C26" s="2" t="inlineStr">
        <is>
          <t>הוראת-קבע</t>
        </is>
      </c>
      <c r="D26" s="2" t="inlineStr"/>
      <c r="E26" s="26" t="inlineStr">
        <is>
          <t>600463552</t>
        </is>
      </c>
      <c r="F26" s="26" t="inlineStr">
        <is>
          <t>33333</t>
        </is>
      </c>
      <c r="H26" s="21" t="n">
        <v>-11999311.55</v>
      </c>
      <c r="I26" s="21" t="n">
        <v>-340073566.21</v>
      </c>
      <c r="J26" s="15">
        <f>A25-A26</f>
        <v/>
      </c>
      <c r="L26" s="20">
        <f>I26/365*J26*$L$3</f>
        <v/>
      </c>
    </row>
    <row r="27">
      <c r="A27" s="29" t="n">
        <v>45987</v>
      </c>
      <c r="B27" s="26" t="inlineStr">
        <is>
          <t>120</t>
        </is>
      </c>
      <c r="C27" s="2" t="inlineStr">
        <is>
          <t>הוראת-קבע</t>
        </is>
      </c>
      <c r="D27" s="2" t="inlineStr"/>
      <c r="E27" s="26" t="inlineStr">
        <is>
          <t>600463552</t>
        </is>
      </c>
      <c r="F27" s="26" t="inlineStr">
        <is>
          <t>33333</t>
        </is>
      </c>
      <c r="H27" s="21" t="n">
        <v>9238659.119999999</v>
      </c>
      <c r="I27" s="21" t="n">
        <v>-328074254.66</v>
      </c>
      <c r="J27" s="15">
        <f>A26-A27</f>
        <v/>
      </c>
      <c r="K27" s="20">
        <f>I27/365*J27*$K$3</f>
        <v/>
      </c>
    </row>
    <row r="28">
      <c r="A28" s="29" t="n">
        <v>45986</v>
      </c>
      <c r="B28" s="26" t="inlineStr">
        <is>
          <t>120</t>
        </is>
      </c>
      <c r="C28" s="2" t="inlineStr">
        <is>
          <t>הוראת-קבע</t>
        </is>
      </c>
      <c r="D28" s="2" t="inlineStr"/>
      <c r="E28" s="26" t="inlineStr">
        <is>
          <t>600463552</t>
        </is>
      </c>
      <c r="F28" s="26" t="inlineStr">
        <is>
          <t>33333</t>
        </is>
      </c>
      <c r="H28" s="21" t="n">
        <v>-66747443.13</v>
      </c>
      <c r="I28" s="21" t="n">
        <v>-337312913.78</v>
      </c>
      <c r="J28" s="15">
        <f>A27-A28</f>
        <v/>
      </c>
      <c r="K28" s="20">
        <f>I28/365*J28*$K$3</f>
        <v/>
      </c>
    </row>
    <row r="29">
      <c r="A29" s="29" t="n">
        <v>45985</v>
      </c>
      <c r="B29" s="26" t="inlineStr">
        <is>
          <t>120</t>
        </is>
      </c>
      <c r="C29" s="2" t="inlineStr">
        <is>
          <t>הוראת-קבע</t>
        </is>
      </c>
      <c r="D29" s="2" t="inlineStr"/>
      <c r="E29" s="26" t="inlineStr">
        <is>
          <t>600463552</t>
        </is>
      </c>
      <c r="F29" s="26" t="inlineStr">
        <is>
          <t>33333</t>
        </is>
      </c>
      <c r="H29" s="21" t="n">
        <v>-3130902.63</v>
      </c>
      <c r="I29" s="21" t="n">
        <v>-288345173.51</v>
      </c>
      <c r="J29" s="15">
        <f>A28-A29</f>
        <v/>
      </c>
      <c r="K29" s="20">
        <f>I29/365*J29*$K$3</f>
        <v/>
      </c>
    </row>
    <row r="30">
      <c r="A30" s="29" t="n">
        <v>45982</v>
      </c>
      <c r="B30" s="26" t="inlineStr">
        <is>
          <t>120</t>
        </is>
      </c>
      <c r="C30" s="2" t="inlineStr">
        <is>
          <t>הוראת-קבע</t>
        </is>
      </c>
      <c r="D30" s="2" t="inlineStr"/>
      <c r="E30" s="26" t="inlineStr">
        <is>
          <t>600463544</t>
        </is>
      </c>
      <c r="F30" s="26" t="inlineStr">
        <is>
          <t>33333</t>
        </is>
      </c>
      <c r="H30" s="21" t="n">
        <v>-1423447.22</v>
      </c>
      <c r="I30" s="21" t="n">
        <v>-285323069.62</v>
      </c>
      <c r="J30" s="15">
        <f>A29-A30</f>
        <v/>
      </c>
      <c r="K30" s="20">
        <f>I30/365*J30*$K$3</f>
        <v/>
      </c>
    </row>
    <row r="31">
      <c r="A31" s="29" t="n">
        <v>45981</v>
      </c>
      <c r="B31" s="26" t="inlineStr">
        <is>
          <t>120</t>
        </is>
      </c>
      <c r="C31" s="2" t="inlineStr">
        <is>
          <t>הוראת-קבע</t>
        </is>
      </c>
      <c r="D31" s="2" t="inlineStr"/>
      <c r="E31" s="26" t="inlineStr">
        <is>
          <t>600463544</t>
        </is>
      </c>
      <c r="F31" s="26" t="inlineStr">
        <is>
          <t>33333</t>
        </is>
      </c>
      <c r="H31" s="21" t="n">
        <v>-16390000</v>
      </c>
      <c r="I31" s="21" t="n">
        <v>-282545683.81</v>
      </c>
      <c r="J31" s="15">
        <f>A30-A31</f>
        <v/>
      </c>
      <c r="K31" s="20">
        <f>I31/365*J31*$K$3</f>
        <v/>
      </c>
    </row>
    <row r="32">
      <c r="A32" s="29" t="n">
        <v>45980</v>
      </c>
      <c r="B32" s="26" t="inlineStr">
        <is>
          <t>120</t>
        </is>
      </c>
      <c r="C32" s="2" t="inlineStr">
        <is>
          <t>הוראת-קבע</t>
        </is>
      </c>
      <c r="D32" s="2" t="inlineStr"/>
      <c r="E32" s="26" t="inlineStr">
        <is>
          <t>600463544</t>
        </is>
      </c>
      <c r="F32" s="26" t="inlineStr">
        <is>
          <t>33333</t>
        </is>
      </c>
      <c r="H32" s="21" t="n">
        <v>32579758.22</v>
      </c>
      <c r="I32" s="21" t="n">
        <v>-246653162.07</v>
      </c>
      <c r="J32" s="15">
        <f>A31-A32</f>
        <v/>
      </c>
      <c r="K32" s="20">
        <f>I32/365*J32*$K$3</f>
        <v/>
      </c>
    </row>
    <row r="33">
      <c r="A33" s="29" t="n">
        <v>45979</v>
      </c>
      <c r="B33" s="26" t="inlineStr">
        <is>
          <t>120</t>
        </is>
      </c>
      <c r="C33" s="2" t="inlineStr">
        <is>
          <t>הוראת-קבע</t>
        </is>
      </c>
      <c r="D33" s="2" t="inlineStr"/>
      <c r="E33" s="26" t="inlineStr">
        <is>
          <t>600463552</t>
        </is>
      </c>
      <c r="F33" s="26" t="inlineStr">
        <is>
          <t>33333</t>
        </is>
      </c>
      <c r="H33" s="21" t="n">
        <v>-502323.03</v>
      </c>
      <c r="I33" s="21" t="n">
        <v>-279452492.89</v>
      </c>
      <c r="J33" s="15">
        <f>A32-A33</f>
        <v/>
      </c>
      <c r="K33" s="20">
        <f>I33/365*J33*$K$3</f>
        <v/>
      </c>
    </row>
    <row r="34">
      <c r="A34" s="29" t="n">
        <v>45978</v>
      </c>
      <c r="B34" s="26" t="inlineStr">
        <is>
          <t>120</t>
        </is>
      </c>
      <c r="C34" s="2" t="inlineStr">
        <is>
          <t>הוראת-קבע</t>
        </is>
      </c>
      <c r="D34" s="2" t="inlineStr"/>
      <c r="E34" s="26" t="inlineStr">
        <is>
          <t>600463544</t>
        </is>
      </c>
      <c r="F34" s="26" t="inlineStr">
        <is>
          <t>33333</t>
        </is>
      </c>
      <c r="H34" s="21" t="n">
        <v>-20.39</v>
      </c>
      <c r="I34" s="21" t="n">
        <v>-278950169.86</v>
      </c>
      <c r="J34" s="15">
        <f>A33-A34</f>
        <v/>
      </c>
      <c r="K34" s="20">
        <f>I34/365*J34*$K$3</f>
        <v/>
      </c>
    </row>
    <row r="35">
      <c r="A35" s="29" t="n">
        <v>45977</v>
      </c>
      <c r="B35" s="26" t="inlineStr">
        <is>
          <t>120</t>
        </is>
      </c>
      <c r="C35" s="2" t="inlineStr">
        <is>
          <t>הוראת-קבע</t>
        </is>
      </c>
      <c r="D35" s="2" t="inlineStr"/>
      <c r="E35" s="26" t="inlineStr">
        <is>
          <t>600463552</t>
        </is>
      </c>
      <c r="F35" s="26" t="inlineStr">
        <is>
          <t>33333</t>
        </is>
      </c>
      <c r="H35" s="21" t="n">
        <v>8772.08</v>
      </c>
      <c r="I35" s="21" t="n">
        <v>-278258752.47</v>
      </c>
      <c r="J35" s="15">
        <f>A34-A35</f>
        <v/>
      </c>
      <c r="K35" s="20">
        <f>I35/365*J35*$K$3</f>
        <v/>
      </c>
    </row>
    <row r="36">
      <c r="A36" s="29" t="n">
        <v>45975</v>
      </c>
      <c r="B36" s="26" t="inlineStr">
        <is>
          <t>120</t>
        </is>
      </c>
      <c r="C36" s="2" t="inlineStr">
        <is>
          <t>הוראת-קבע</t>
        </is>
      </c>
      <c r="D36" s="2" t="inlineStr"/>
      <c r="E36" s="26" t="inlineStr">
        <is>
          <t>600463552</t>
        </is>
      </c>
      <c r="F36" s="26" t="inlineStr">
        <is>
          <t>33333</t>
        </is>
      </c>
      <c r="H36" s="21" t="n">
        <v>52645.67</v>
      </c>
      <c r="I36" s="21" t="n">
        <v>-278267524.55</v>
      </c>
      <c r="J36" s="15">
        <f>A35-A36</f>
        <v/>
      </c>
      <c r="K36" s="20">
        <f>I36/365*J36*$K$3</f>
        <v/>
      </c>
    </row>
    <row r="37">
      <c r="A37" s="29" t="n">
        <v>45974</v>
      </c>
      <c r="B37" s="26" t="inlineStr">
        <is>
          <t>120</t>
        </is>
      </c>
      <c r="C37" s="2" t="inlineStr">
        <is>
          <t>הוראת-קבע</t>
        </is>
      </c>
      <c r="D37" s="2" t="inlineStr"/>
      <c r="E37" s="26" t="inlineStr">
        <is>
          <t>600463552</t>
        </is>
      </c>
      <c r="F37" s="26" t="inlineStr">
        <is>
          <t>33333</t>
        </is>
      </c>
      <c r="H37" s="21" t="n">
        <v>426649.25</v>
      </c>
      <c r="I37" s="21" t="n">
        <v>-278320170.22</v>
      </c>
      <c r="J37" s="15">
        <f>A36-A37</f>
        <v/>
      </c>
      <c r="K37" s="20">
        <f>I37/365*J37*$K$3</f>
        <v/>
      </c>
    </row>
    <row r="38">
      <c r="A38" s="29" t="n">
        <v>45973</v>
      </c>
      <c r="B38" s="26" t="inlineStr">
        <is>
          <t>120</t>
        </is>
      </c>
      <c r="C38" s="2" t="inlineStr">
        <is>
          <t>הוראת-קבע</t>
        </is>
      </c>
      <c r="D38" s="2" t="inlineStr"/>
      <c r="E38" s="26" t="inlineStr">
        <is>
          <t>600463552</t>
        </is>
      </c>
      <c r="F38" s="26" t="inlineStr">
        <is>
          <t>33333</t>
        </is>
      </c>
      <c r="H38" s="21" t="n">
        <v>-18296314.45</v>
      </c>
      <c r="I38" s="21" t="n">
        <v>-278746819.47</v>
      </c>
      <c r="J38" s="15">
        <f>A37-A38</f>
        <v/>
      </c>
      <c r="K38" s="20">
        <f>I38/365*J38*$K$3</f>
        <v/>
      </c>
    </row>
    <row r="39">
      <c r="A39" s="29" t="n">
        <v>45972</v>
      </c>
      <c r="B39" s="26" t="inlineStr">
        <is>
          <t>120</t>
        </is>
      </c>
      <c r="C39" s="2" t="inlineStr">
        <is>
          <t>הוראת-קבע</t>
        </is>
      </c>
      <c r="D39" s="2" t="inlineStr"/>
      <c r="E39" s="26" t="inlineStr">
        <is>
          <t>600463552</t>
        </is>
      </c>
      <c r="F39" s="26" t="inlineStr">
        <is>
          <t>33333</t>
        </is>
      </c>
      <c r="H39" s="21" t="n">
        <v>3389159.25</v>
      </c>
      <c r="I39" s="21" t="n">
        <v>-260450505.02</v>
      </c>
      <c r="J39" s="15">
        <f>A38-A39</f>
        <v/>
      </c>
      <c r="K39" s="20">
        <f>I39/365*J39*$K$3</f>
        <v/>
      </c>
    </row>
    <row r="40">
      <c r="A40" s="29" t="n">
        <v>45971</v>
      </c>
      <c r="B40" s="26" t="inlineStr">
        <is>
          <t>120</t>
        </is>
      </c>
      <c r="C40" s="2" t="inlineStr">
        <is>
          <t>הוראת-קבע</t>
        </is>
      </c>
      <c r="D40" s="2" t="inlineStr"/>
      <c r="E40" s="26" t="inlineStr">
        <is>
          <t>600463552</t>
        </is>
      </c>
      <c r="F40" s="26" t="inlineStr">
        <is>
          <t>33333</t>
        </is>
      </c>
      <c r="H40" s="21" t="n">
        <v>553649.7</v>
      </c>
      <c r="I40" s="21" t="n">
        <v>-263839664.27</v>
      </c>
      <c r="J40" s="15">
        <f>A39-A40</f>
        <v/>
      </c>
      <c r="K40" s="20">
        <f>I40/365*J40*$K$3</f>
        <v/>
      </c>
    </row>
    <row r="41">
      <c r="A41" s="29" t="n">
        <v>45966</v>
      </c>
      <c r="B41" s="26" t="inlineStr">
        <is>
          <t>120</t>
        </is>
      </c>
      <c r="C41" s="2" t="inlineStr">
        <is>
          <t>הוראת-קבע</t>
        </is>
      </c>
      <c r="D41" s="2" t="inlineStr"/>
      <c r="E41" s="26" t="inlineStr">
        <is>
          <t>600463552</t>
        </is>
      </c>
      <c r="F41" s="26" t="inlineStr">
        <is>
          <t>33333</t>
        </is>
      </c>
      <c r="H41" s="21" t="n">
        <v>-8334.610000000001</v>
      </c>
      <c r="I41" s="21" t="n">
        <v>-264393313.97</v>
      </c>
      <c r="J41" s="15">
        <f>A40-A41</f>
        <v/>
      </c>
      <c r="K41" s="20">
        <f>I41/365*J41*$K$3</f>
        <v/>
      </c>
    </row>
    <row r="42">
      <c r="A42" s="29" t="n">
        <v>45965</v>
      </c>
      <c r="B42" s="26" t="inlineStr">
        <is>
          <t>120</t>
        </is>
      </c>
      <c r="C42" s="2" t="inlineStr">
        <is>
          <t>הוראת-קבע</t>
        </is>
      </c>
      <c r="D42" s="2" t="inlineStr"/>
      <c r="E42" s="26" t="inlineStr">
        <is>
          <t>600463552</t>
        </is>
      </c>
      <c r="F42" s="26" t="inlineStr">
        <is>
          <t>33333</t>
        </is>
      </c>
      <c r="H42" s="21" t="n">
        <v>726726.28</v>
      </c>
      <c r="I42" s="21" t="n">
        <v>-265404746.39</v>
      </c>
      <c r="J42" s="15">
        <f>A41-A42</f>
        <v/>
      </c>
      <c r="K42" s="20">
        <f>I42/365*J42*$K$3</f>
        <v/>
      </c>
    </row>
    <row r="43">
      <c r="A43" s="29" t="n">
        <v>45964</v>
      </c>
      <c r="B43" s="26" t="inlineStr">
        <is>
          <t>120</t>
        </is>
      </c>
      <c r="C43" s="2" t="inlineStr">
        <is>
          <t>הוראת-קבע</t>
        </is>
      </c>
      <c r="D43" s="2" t="inlineStr"/>
      <c r="E43" s="26" t="inlineStr">
        <is>
          <t>600463552</t>
        </is>
      </c>
      <c r="F43" s="26" t="inlineStr">
        <is>
          <t>33333</t>
        </is>
      </c>
      <c r="H43" s="21" t="n">
        <v>-327112.94</v>
      </c>
      <c r="I43" s="21" t="n">
        <v>-266142970.17</v>
      </c>
      <c r="J43" s="15">
        <f>A42-A43</f>
        <v/>
      </c>
      <c r="K43" s="20">
        <f>I43/365*J43*$K$3</f>
        <v/>
      </c>
    </row>
    <row r="44">
      <c r="A44" s="29" t="n">
        <v>45963</v>
      </c>
      <c r="B44" s="26" t="inlineStr">
        <is>
          <t>120</t>
        </is>
      </c>
      <c r="C44" s="2" t="inlineStr">
        <is>
          <t>הוראת-קבע</t>
        </is>
      </c>
      <c r="D44" s="2" t="inlineStr"/>
      <c r="E44" s="26" t="inlineStr">
        <is>
          <t>600463552</t>
        </is>
      </c>
      <c r="F44" s="26" t="inlineStr">
        <is>
          <t>33333</t>
        </is>
      </c>
      <c r="H44" s="21" t="n">
        <v>-90.51000000000001</v>
      </c>
      <c r="I44" s="21" t="n">
        <v>-265815857.23</v>
      </c>
      <c r="J44" s="15">
        <f>A43-A44</f>
        <v/>
      </c>
      <c r="K44" s="20">
        <f>I44/365*J44*$K$3</f>
        <v/>
      </c>
    </row>
    <row r="45">
      <c r="A45" s="29" t="n">
        <v>45961</v>
      </c>
      <c r="B45" s="26" t="inlineStr">
        <is>
          <t>120</t>
        </is>
      </c>
      <c r="C45" s="2" t="inlineStr">
        <is>
          <t>הוראת-קבע</t>
        </is>
      </c>
      <c r="D45" s="2" t="inlineStr"/>
      <c r="E45" s="26" t="inlineStr">
        <is>
          <t>600463552</t>
        </is>
      </c>
      <c r="F45" s="26" t="inlineStr">
        <is>
          <t>33333</t>
        </is>
      </c>
      <c r="H45" s="21" t="n">
        <v>3894642.89</v>
      </c>
      <c r="I45" s="21" t="n">
        <v>-265815766.72</v>
      </c>
      <c r="J45" s="15">
        <f>A44-A45</f>
        <v/>
      </c>
      <c r="K45" s="20">
        <f>I45/365*J45*$K$3</f>
        <v/>
      </c>
    </row>
    <row r="46">
      <c r="A46" s="29" t="n">
        <v>45960</v>
      </c>
      <c r="B46" s="26" t="inlineStr">
        <is>
          <t>120</t>
        </is>
      </c>
      <c r="C46" s="2" t="inlineStr">
        <is>
          <t>הוראת-קבע</t>
        </is>
      </c>
      <c r="D46" s="2" t="inlineStr"/>
      <c r="E46" s="26" t="inlineStr">
        <is>
          <t>600463552</t>
        </is>
      </c>
      <c r="F46" s="26" t="inlineStr">
        <is>
          <t>33333</t>
        </is>
      </c>
      <c r="H46" s="21" t="n">
        <v>-31510998.93</v>
      </c>
      <c r="I46" s="21" t="n">
        <v>-271583792.49</v>
      </c>
      <c r="J46" s="15">
        <f>A45-A46</f>
        <v/>
      </c>
      <c r="K46" s="20">
        <f>I46/365*J46*$K$3</f>
        <v/>
      </c>
    </row>
    <row r="47">
      <c r="A47" s="29" t="n">
        <v>45959</v>
      </c>
      <c r="B47" s="26" t="inlineStr">
        <is>
          <t>120</t>
        </is>
      </c>
      <c r="C47" s="2" t="inlineStr">
        <is>
          <t>הוראת-קבע</t>
        </is>
      </c>
      <c r="D47" s="2" t="inlineStr"/>
      <c r="E47" s="26" t="inlineStr">
        <is>
          <t>600463552</t>
        </is>
      </c>
      <c r="F47" s="26" t="inlineStr">
        <is>
          <t>33333</t>
        </is>
      </c>
      <c r="H47" s="21" t="n">
        <v>525458.75</v>
      </c>
      <c r="I47" s="21" t="n">
        <v>-240072793.56</v>
      </c>
      <c r="J47" s="15">
        <f>A46-A47</f>
        <v/>
      </c>
      <c r="K47" s="20">
        <f>I47/365*J47*$K$3</f>
        <v/>
      </c>
    </row>
    <row r="48">
      <c r="A48" s="29" t="n">
        <v>45958</v>
      </c>
      <c r="B48" s="26" t="inlineStr">
        <is>
          <t>120</t>
        </is>
      </c>
      <c r="C48" s="2" t="inlineStr">
        <is>
          <t>הוראת-קבע</t>
        </is>
      </c>
      <c r="D48" s="2" t="inlineStr"/>
      <c r="E48" s="26" t="inlineStr">
        <is>
          <t>600463552</t>
        </is>
      </c>
      <c r="F48" s="26" t="inlineStr">
        <is>
          <t>33333</t>
        </is>
      </c>
      <c r="H48" s="21" t="n">
        <v>-6060127.93</v>
      </c>
      <c r="I48" s="21" t="n">
        <v>-240598252.31</v>
      </c>
      <c r="J48" s="15">
        <f>A47-A48</f>
        <v/>
      </c>
      <c r="K48" s="20">
        <f>I48/365*J48*$K$3</f>
        <v/>
      </c>
    </row>
    <row r="49">
      <c r="A49" s="29" t="n">
        <v>45957</v>
      </c>
      <c r="B49" s="26" t="inlineStr">
        <is>
          <t>120</t>
        </is>
      </c>
      <c r="C49" s="2" t="inlineStr">
        <is>
          <t>הוראת-קבע</t>
        </is>
      </c>
      <c r="D49" s="2" t="inlineStr"/>
      <c r="E49" s="26" t="inlineStr">
        <is>
          <t>600463552</t>
        </is>
      </c>
      <c r="F49" s="26" t="inlineStr">
        <is>
          <t>33333</t>
        </is>
      </c>
      <c r="H49" s="21" t="n">
        <v>1598999.03</v>
      </c>
      <c r="I49" s="21" t="n">
        <v>-234538124.38</v>
      </c>
      <c r="J49" s="15">
        <f>A48-A49</f>
        <v/>
      </c>
      <c r="K49" s="20">
        <f>I49/365*J49*$K$3</f>
        <v/>
      </c>
    </row>
    <row r="50">
      <c r="A50" s="29" t="n">
        <v>45956</v>
      </c>
      <c r="B50" s="26" t="inlineStr">
        <is>
          <t>120</t>
        </is>
      </c>
      <c r="C50" s="2" t="inlineStr">
        <is>
          <t>הוראת-קבע (תאריך ערך: 24/10)</t>
        </is>
      </c>
      <c r="D50" s="2" t="inlineStr"/>
      <c r="E50" s="26" t="inlineStr">
        <is>
          <t>600463544</t>
        </is>
      </c>
      <c r="F50" s="26" t="inlineStr">
        <is>
          <t>33333</t>
        </is>
      </c>
      <c r="H50" s="21" t="n">
        <v>-223763</v>
      </c>
      <c r="I50" s="21" t="n">
        <v>-236137123.41</v>
      </c>
      <c r="J50" s="15">
        <f>A49-A50</f>
        <v/>
      </c>
      <c r="K50" s="20">
        <f>I50/365*J50*$K$3</f>
        <v/>
      </c>
    </row>
    <row r="51">
      <c r="A51" s="29" t="n">
        <v>45954</v>
      </c>
      <c r="B51" s="26" t="inlineStr">
        <is>
          <t>120</t>
        </is>
      </c>
      <c r="C51" s="2" t="inlineStr">
        <is>
          <t>הוראת-קבע</t>
        </is>
      </c>
      <c r="D51" s="2" t="inlineStr"/>
      <c r="E51" s="26" t="inlineStr">
        <is>
          <t>600463552</t>
        </is>
      </c>
      <c r="F51" s="26" t="inlineStr">
        <is>
          <t>33333</t>
        </is>
      </c>
      <c r="H51" s="21" t="n">
        <v>1263870.37</v>
      </c>
      <c r="I51" s="21" t="n">
        <v>-236137123.41</v>
      </c>
      <c r="J51" s="15">
        <f>A50-A51</f>
        <v/>
      </c>
      <c r="K51" s="20">
        <f>I51/365*J51*$K$3</f>
        <v/>
      </c>
    </row>
    <row r="52">
      <c r="A52" s="29" t="n">
        <v>45953</v>
      </c>
      <c r="B52" s="26" t="inlineStr">
        <is>
          <t>120</t>
        </is>
      </c>
      <c r="C52" s="2" t="inlineStr">
        <is>
          <t>הוראת-קבע</t>
        </is>
      </c>
      <c r="D52" s="2" t="inlineStr"/>
      <c r="E52" s="26" t="inlineStr">
        <is>
          <t>600463552</t>
        </is>
      </c>
      <c r="F52" s="26" t="inlineStr">
        <is>
          <t>33333</t>
        </is>
      </c>
      <c r="H52" s="21" t="n">
        <v>-1179303.14</v>
      </c>
      <c r="I52" s="21" t="n">
        <v>-237400993.78</v>
      </c>
      <c r="J52" s="15">
        <f>A51-A52</f>
        <v/>
      </c>
      <c r="K52" s="20">
        <f>I52/365*J52*$K$3</f>
        <v/>
      </c>
    </row>
    <row r="53">
      <c r="A53" s="29" t="n">
        <v>45952</v>
      </c>
      <c r="B53" s="26" t="inlineStr">
        <is>
          <t>120</t>
        </is>
      </c>
      <c r="C53" s="2" t="inlineStr">
        <is>
          <t>הוראת-קבע</t>
        </is>
      </c>
      <c r="D53" s="2" t="inlineStr"/>
      <c r="E53" s="26" t="inlineStr">
        <is>
          <t>600463552</t>
        </is>
      </c>
      <c r="F53" s="26" t="inlineStr">
        <is>
          <t>33333</t>
        </is>
      </c>
      <c r="H53" s="21" t="n">
        <v>-949679.6800000001</v>
      </c>
      <c r="I53" s="21" t="n">
        <v>-236221690.64</v>
      </c>
      <c r="J53" s="15">
        <f>A52-A53</f>
        <v/>
      </c>
      <c r="K53" s="20">
        <f>I53/365*J53*$K$3</f>
        <v/>
      </c>
    </row>
    <row r="54">
      <c r="A54" s="29" t="n">
        <v>45951</v>
      </c>
      <c r="B54" s="26" t="inlineStr">
        <is>
          <t>120</t>
        </is>
      </c>
      <c r="C54" s="2" t="inlineStr">
        <is>
          <t>הוראת-קבע</t>
        </is>
      </c>
      <c r="D54" s="2" t="inlineStr"/>
      <c r="E54" s="26" t="inlineStr">
        <is>
          <t>600463552</t>
        </is>
      </c>
      <c r="F54" s="26" t="inlineStr">
        <is>
          <t>33333</t>
        </is>
      </c>
      <c r="H54" s="21" t="n">
        <v>476895.6</v>
      </c>
      <c r="I54" s="21" t="n">
        <v>-232686790.73</v>
      </c>
      <c r="J54" s="15">
        <f>A53-A54</f>
        <v/>
      </c>
      <c r="K54" s="20">
        <f>I54/365*J54*$K$3</f>
        <v/>
      </c>
    </row>
    <row r="55">
      <c r="A55" s="29" t="n">
        <v>45950</v>
      </c>
      <c r="B55" s="26" t="inlineStr">
        <is>
          <t>120</t>
        </is>
      </c>
      <c r="C55" s="2" t="inlineStr">
        <is>
          <t>הוראת-קבע</t>
        </is>
      </c>
      <c r="D55" s="2" t="inlineStr"/>
      <c r="E55" s="26" t="inlineStr">
        <is>
          <t>600463552</t>
        </is>
      </c>
      <c r="F55" s="26" t="inlineStr">
        <is>
          <t>33333</t>
        </is>
      </c>
      <c r="H55" s="21" t="n">
        <v>641662.96</v>
      </c>
      <c r="I55" s="21" t="n">
        <v>-233163686.33</v>
      </c>
      <c r="J55" s="15">
        <f>A54-A55</f>
        <v/>
      </c>
      <c r="K55" s="20">
        <f>I55/365*J55*$K$3</f>
        <v/>
      </c>
    </row>
    <row r="56">
      <c r="A56" s="29" t="n">
        <v>45949</v>
      </c>
      <c r="B56" s="26" t="inlineStr">
        <is>
          <t>120</t>
        </is>
      </c>
      <c r="C56" s="2" t="inlineStr">
        <is>
          <t>הוראת-קבע</t>
        </is>
      </c>
      <c r="D56" s="2" t="inlineStr"/>
      <c r="E56" s="26" t="inlineStr">
        <is>
          <t>600463552</t>
        </is>
      </c>
      <c r="F56" s="26" t="inlineStr">
        <is>
          <t>33333</t>
        </is>
      </c>
      <c r="H56" s="21" t="n">
        <v>-6.82</v>
      </c>
      <c r="I56" s="21" t="n">
        <v>-233805349.29</v>
      </c>
      <c r="J56" s="15">
        <f>A55-A56</f>
        <v/>
      </c>
      <c r="K56" s="20">
        <f>I56/365*J56*$K$3</f>
        <v/>
      </c>
    </row>
    <row r="57">
      <c r="A57" s="29" t="n">
        <v>45947</v>
      </c>
      <c r="B57" s="26" t="inlineStr">
        <is>
          <t>120</t>
        </is>
      </c>
      <c r="C57" s="2" t="inlineStr">
        <is>
          <t>הוראת-קבע</t>
        </is>
      </c>
      <c r="D57" s="2" t="inlineStr"/>
      <c r="E57" s="26" t="inlineStr">
        <is>
          <t>600463552</t>
        </is>
      </c>
      <c r="F57" s="26" t="inlineStr">
        <is>
          <t>33333</t>
        </is>
      </c>
      <c r="H57" s="21" t="n">
        <v>-1104181.82</v>
      </c>
      <c r="I57" s="21" t="n">
        <v>-233805342.47</v>
      </c>
      <c r="J57" s="15">
        <f>A56-A57</f>
        <v/>
      </c>
      <c r="K57" s="20">
        <f>I57/365*J57*$K$3</f>
        <v/>
      </c>
    </row>
    <row r="58">
      <c r="A58" s="29" t="n">
        <v>45946</v>
      </c>
      <c r="B58" s="26" t="inlineStr">
        <is>
          <t>120</t>
        </is>
      </c>
      <c r="C58" s="2" t="inlineStr">
        <is>
          <t>הוראת-קבע</t>
        </is>
      </c>
      <c r="D58" s="2" t="inlineStr"/>
      <c r="E58" s="26" t="inlineStr">
        <is>
          <t>600463552</t>
        </is>
      </c>
      <c r="F58" s="26" t="inlineStr">
        <is>
          <t>33333</t>
        </is>
      </c>
      <c r="H58" s="21" t="n">
        <v>-4308299.92</v>
      </c>
      <c r="I58" s="21" t="n">
        <v>-232701160.65</v>
      </c>
      <c r="J58" s="15">
        <f>A57-A58</f>
        <v/>
      </c>
      <c r="K58" s="20">
        <f>I58/365*J58*$K$3</f>
        <v/>
      </c>
    </row>
    <row r="59">
      <c r="A59" s="29" t="n">
        <v>45945</v>
      </c>
      <c r="B59" s="26" t="inlineStr">
        <is>
          <t>120</t>
        </is>
      </c>
      <c r="C59" s="2" t="inlineStr">
        <is>
          <t>הוראת-קבע</t>
        </is>
      </c>
      <c r="D59" s="2" t="inlineStr"/>
      <c r="E59" s="26" t="inlineStr">
        <is>
          <t>600463544</t>
        </is>
      </c>
      <c r="F59" s="26" t="inlineStr">
        <is>
          <t>33333</t>
        </is>
      </c>
      <c r="H59" s="21" t="n">
        <v>-4109.74</v>
      </c>
      <c r="I59" s="21" t="n">
        <v>-233106875.19</v>
      </c>
      <c r="J59" s="15">
        <f>A58-A59</f>
        <v/>
      </c>
      <c r="K59" s="20">
        <f>I59/365*J59*$K$3</f>
        <v/>
      </c>
    </row>
    <row r="60">
      <c r="A60" s="29" t="n">
        <v>45943</v>
      </c>
      <c r="B60" s="26" t="inlineStr">
        <is>
          <t>120</t>
        </is>
      </c>
      <c r="C60" s="2" t="inlineStr">
        <is>
          <t>הוראת-קבע</t>
        </is>
      </c>
      <c r="D60" s="2" t="inlineStr"/>
      <c r="E60" s="26" t="inlineStr">
        <is>
          <t>600463552</t>
        </is>
      </c>
      <c r="F60" s="26" t="inlineStr">
        <is>
          <t>33333</t>
        </is>
      </c>
      <c r="H60" s="21" t="n">
        <v>-723753.33</v>
      </c>
      <c r="I60" s="21" t="n">
        <v>-237894210.26</v>
      </c>
      <c r="J60" s="15">
        <f>A59-A60</f>
        <v/>
      </c>
      <c r="K60" s="20">
        <f>I60/365*J60*$K$3</f>
        <v/>
      </c>
    </row>
    <row r="61">
      <c r="A61" s="29" t="n">
        <v>45942</v>
      </c>
      <c r="B61" s="26" t="inlineStr">
        <is>
          <t>120</t>
        </is>
      </c>
      <c r="C61" s="2" t="inlineStr">
        <is>
          <t>הוראת-קבע</t>
        </is>
      </c>
      <c r="D61" s="2" t="inlineStr"/>
      <c r="E61" s="26" t="inlineStr">
        <is>
          <t>600463552</t>
        </is>
      </c>
      <c r="F61" s="26" t="inlineStr">
        <is>
          <t>33333</t>
        </is>
      </c>
      <c r="H61" s="21" t="n">
        <v>-0.33</v>
      </c>
      <c r="I61" s="21" t="n">
        <v>-237170456.93</v>
      </c>
      <c r="J61" s="15">
        <f>A60-A61</f>
        <v/>
      </c>
      <c r="K61" s="20">
        <f>I61/365*J61*$K$3</f>
        <v/>
      </c>
    </row>
    <row r="62">
      <c r="A62" s="29" t="n">
        <v>45940</v>
      </c>
      <c r="B62" s="26" t="inlineStr">
        <is>
          <t>120</t>
        </is>
      </c>
      <c r="C62" s="2" t="inlineStr">
        <is>
          <t>הוראת-קבע</t>
        </is>
      </c>
      <c r="D62" s="2" t="inlineStr"/>
      <c r="E62" s="26" t="inlineStr">
        <is>
          <t>600463552</t>
        </is>
      </c>
      <c r="F62" s="26" t="inlineStr">
        <is>
          <t>33333</t>
        </is>
      </c>
      <c r="H62" s="21" t="n">
        <v>2670918.23</v>
      </c>
      <c r="I62" s="21" t="n">
        <v>-237170456.6</v>
      </c>
      <c r="J62" s="15">
        <f>A61-A62</f>
        <v/>
      </c>
      <c r="K62" s="20">
        <f>I62/365*J62*$K$3</f>
        <v/>
      </c>
    </row>
    <row r="63">
      <c r="A63" s="29" t="n">
        <v>45939</v>
      </c>
      <c r="B63" s="26" t="inlineStr">
        <is>
          <t>120</t>
        </is>
      </c>
      <c r="C63" s="2" t="inlineStr">
        <is>
          <t>הוראת-קבע</t>
        </is>
      </c>
      <c r="D63" s="2" t="inlineStr"/>
      <c r="E63" s="26" t="inlineStr">
        <is>
          <t>600463544</t>
        </is>
      </c>
      <c r="F63" s="26" t="inlineStr">
        <is>
          <t>33333</t>
        </is>
      </c>
      <c r="H63" s="21" t="n">
        <v>-241.39</v>
      </c>
      <c r="I63" s="21" t="n">
        <v>-239841374.83</v>
      </c>
      <c r="J63" s="15">
        <f>A62-A63</f>
        <v/>
      </c>
      <c r="K63" s="20">
        <f>I63/365*J63*$K$3</f>
        <v/>
      </c>
    </row>
    <row r="64">
      <c r="A64" s="29" t="n">
        <v>45938</v>
      </c>
      <c r="B64" s="26" t="inlineStr">
        <is>
          <t>120</t>
        </is>
      </c>
      <c r="C64" s="2" t="inlineStr">
        <is>
          <t>הוראת-קבע</t>
        </is>
      </c>
      <c r="D64" s="2" t="inlineStr"/>
      <c r="E64" s="26" t="inlineStr">
        <is>
          <t>600463544</t>
        </is>
      </c>
      <c r="F64" s="26" t="inlineStr">
        <is>
          <t>33333</t>
        </is>
      </c>
      <c r="H64" s="21" t="n">
        <v>42207.01</v>
      </c>
      <c r="I64" s="21" t="n">
        <v>-240834604.23</v>
      </c>
      <c r="J64" s="15">
        <f>A63-A64</f>
        <v/>
      </c>
      <c r="K64" s="20">
        <f>I64/365*J64*$K$3</f>
        <v/>
      </c>
    </row>
    <row r="65">
      <c r="A65" s="29" t="n">
        <v>45936</v>
      </c>
      <c r="B65" s="26" t="inlineStr">
        <is>
          <t>120</t>
        </is>
      </c>
      <c r="C65" s="2" t="inlineStr">
        <is>
          <t>הוראת-קבע</t>
        </is>
      </c>
      <c r="D65" s="2" t="inlineStr"/>
      <c r="E65" s="26" t="inlineStr">
        <is>
          <t>600463552</t>
        </is>
      </c>
      <c r="F65" s="26" t="inlineStr">
        <is>
          <t>33333</t>
        </is>
      </c>
      <c r="H65" s="21" t="n">
        <v>15066221</v>
      </c>
      <c r="I65" s="21" t="n">
        <v>-243165547.73</v>
      </c>
      <c r="J65" s="15">
        <f>A64-A65</f>
        <v/>
      </c>
      <c r="K65" s="20">
        <f>I65/365*J65*$K$3</f>
        <v/>
      </c>
    </row>
    <row r="66">
      <c r="A66" s="29" t="n">
        <v>45935</v>
      </c>
      <c r="B66" s="26" t="inlineStr">
        <is>
          <t>120</t>
        </is>
      </c>
      <c r="C66" s="2" t="inlineStr">
        <is>
          <t>הוראת-קבע</t>
        </is>
      </c>
      <c r="D66" s="2" t="inlineStr"/>
      <c r="E66" s="26" t="inlineStr">
        <is>
          <t>600463552</t>
        </is>
      </c>
      <c r="F66" s="26" t="inlineStr">
        <is>
          <t>33333</t>
        </is>
      </c>
      <c r="H66" s="21" t="n">
        <v>5047500</v>
      </c>
      <c r="I66" s="21" t="n">
        <v>-256281670.31</v>
      </c>
      <c r="J66" s="15">
        <f>A65-A66</f>
        <v/>
      </c>
      <c r="K66" s="20">
        <f>I66/365*J66*$K$3</f>
        <v/>
      </c>
    </row>
    <row r="67">
      <c r="A67" s="29" t="n">
        <v>45933</v>
      </c>
      <c r="B67" s="26" t="inlineStr">
        <is>
          <t>120</t>
        </is>
      </c>
      <c r="C67" s="2" t="inlineStr">
        <is>
          <t>הוראת-קבע</t>
        </is>
      </c>
      <c r="D67" s="2" t="inlineStr"/>
      <c r="E67" s="26" t="inlineStr">
        <is>
          <t>600463544</t>
        </is>
      </c>
      <c r="F67" s="26" t="inlineStr">
        <is>
          <t>33333</t>
        </is>
      </c>
      <c r="H67" s="21" t="n">
        <v>-18488.62</v>
      </c>
      <c r="I67" s="21" t="n">
        <v>-261329170.31</v>
      </c>
      <c r="J67" s="15">
        <f>A66-A67</f>
        <v/>
      </c>
      <c r="K67" s="20">
        <f>I67/365*J67*$K$3</f>
        <v/>
      </c>
    </row>
    <row r="68">
      <c r="A68" s="29" t="n">
        <v>45931</v>
      </c>
      <c r="B68" s="26" t="inlineStr">
        <is>
          <t>120</t>
        </is>
      </c>
      <c r="C68" s="2" t="inlineStr">
        <is>
          <t>הוראת-קבע</t>
        </is>
      </c>
      <c r="D68" s="2" t="inlineStr"/>
      <c r="E68" s="26" t="inlineStr">
        <is>
          <t>600463544</t>
        </is>
      </c>
      <c r="F68" s="26" t="inlineStr">
        <is>
          <t>33333</t>
        </is>
      </c>
      <c r="H68" s="21" t="n">
        <v>57058.28</v>
      </c>
      <c r="I68" s="21" t="n">
        <v>-257574127.65</v>
      </c>
      <c r="J68" s="15">
        <f>A67-A68</f>
        <v/>
      </c>
      <c r="K68" s="20">
        <f>I68/365*J68*$K$3</f>
        <v/>
      </c>
    </row>
    <row r="69">
      <c r="K69" s="30">
        <f>SUM(K4:K68)</f>
        <v/>
      </c>
      <c r="L69" s="30">
        <f>SUM(L4:L68)</f>
        <v/>
      </c>
      <c r="M69" s="30">
        <f>SUM(K69:L69)</f>
        <v/>
      </c>
      <c r="N69" s="4" t="inlineStr">
        <is>
          <t>סכום לתשלום</t>
        </is>
      </c>
    </row>
    <row r="70">
      <c r="M70" s="20">
        <f>-'פירוט ריבית חובה לפי PDF'!G31</f>
        <v/>
      </c>
      <c r="N70" s="2" t="inlineStr">
        <is>
          <t>סכום שירד בפועל</t>
        </is>
      </c>
    </row>
    <row r="71">
      <c r="M71" s="22">
        <f>M69-M70</f>
        <v/>
      </c>
      <c r="N71" s="31" t="inlineStr">
        <is>
          <t xml:space="preserve">החזר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2026-03-17T08:20:30Z</dcterms:created>
  <dcterms:modified xsi:type="dcterms:W3CDTF">2026-03-17T08:20:30Z</dcterms:modified>
</cp:coreProperties>
</file>