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3" fontId="2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 600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13000000</v>
      </c>
      <c r="F11" s="16" t="n">
        <v>0.049</v>
      </c>
      <c r="G11" s="17" t="n">
        <v>83304292.11</v>
      </c>
      <c r="H11" s="18" t="n">
        <v>11183.32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0.049</v>
      </c>
      <c r="G12" s="17" t="n">
        <v>208909220.12</v>
      </c>
      <c r="H12" s="18" t="n">
        <v>28045.35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25/11/25</t>
        </is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13000000</v>
      </c>
      <c r="F14" s="16" t="n">
        <v>0.049</v>
      </c>
      <c r="G14" s="17" t="n">
        <v>124902275.84</v>
      </c>
      <c r="H14" s="18" t="n">
        <v>16767.7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0.049</v>
      </c>
      <c r="G15" s="17" t="n">
        <v>1409440543.08</v>
      </c>
      <c r="H15" s="18" t="n">
        <v>189212.57</v>
      </c>
      <c r="I15" s="19">
        <f>(F15-$I$9)/365*G15</f>
        <v/>
      </c>
    </row>
    <row r="16">
      <c r="A16" s="12" t="inlineStr">
        <is>
          <t>26/11/25</t>
        </is>
      </c>
      <c r="B16" s="12" t="inlineStr">
        <is>
          <t>26/11/25</t>
        </is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10100000</v>
      </c>
      <c r="F17" s="16" t="n">
        <v>0.049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0.049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27/11/25</t>
        </is>
      </c>
      <c r="B19" s="12" t="inlineStr">
        <is>
          <t>30/11/25</t>
        </is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10100000</v>
      </c>
      <c r="F20" s="16" t="n">
        <v>0.04650000000000001</v>
      </c>
      <c r="G20" s="17" t="n">
        <v>0</v>
      </c>
      <c r="H20" s="18" t="n">
        <v>0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0.04650000000000001</v>
      </c>
      <c r="G21" s="17" t="n">
        <v>0</v>
      </c>
      <c r="H21" s="18" t="n">
        <v>0</v>
      </c>
      <c r="I21" s="19">
        <f>(F21-$I$9)/365*G21</f>
        <v/>
      </c>
      <c r="J21" s="19">
        <f>(F21-$J$9)/365*G21</f>
        <v/>
      </c>
    </row>
    <row r="22">
      <c r="A22" s="12" t="inlineStr">
        <is>
          <t>01/12/25</t>
        </is>
      </c>
      <c r="B22" s="12" t="inlineStr">
        <is>
          <t>21/12/25</t>
        </is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</row>
    <row r="23">
      <c r="A23" s="13" t="inlineStr">
        <is>
          <t>מדרגה 1</t>
        </is>
      </c>
      <c r="B23" s="14" t="n"/>
      <c r="C23" s="14" t="n"/>
      <c r="D23" s="14" t="n"/>
      <c r="E23" s="15" t="n">
        <v>10100000</v>
      </c>
      <c r="F23" s="16" t="n">
        <v>0.04650000000000001</v>
      </c>
      <c r="G23" s="17" t="n">
        <v>0</v>
      </c>
      <c r="H23" s="18" t="n">
        <v>0</v>
      </c>
      <c r="I23" s="19">
        <f>(F23-$I$9)/365*G23</f>
        <v/>
      </c>
      <c r="J23" s="19">
        <f>(F23-$J$9)/365*G23</f>
        <v/>
      </c>
    </row>
    <row r="24">
      <c r="A24" s="13" t="inlineStr">
        <is>
          <t>חריגה</t>
        </is>
      </c>
      <c r="B24" s="14" t="n"/>
      <c r="C24" s="14" t="n"/>
      <c r="D24" s="14" t="n"/>
      <c r="F24" s="16" t="n">
        <v>0.04650000000000001</v>
      </c>
      <c r="G24" s="17" t="n">
        <v>0</v>
      </c>
      <c r="H24" s="18" t="n">
        <v>0</v>
      </c>
      <c r="I24" s="19">
        <f>(F24-$I$9)/365*G24</f>
        <v/>
      </c>
      <c r="J24" s="19">
        <f>(F24-$J$9)/365*G24</f>
        <v/>
      </c>
    </row>
    <row r="25">
      <c r="A25" s="12" t="inlineStr">
        <is>
          <t>22/12/25</t>
        </is>
      </c>
      <c r="B25" s="12" t="inlineStr">
        <is>
          <t>31/12/25</t>
        </is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</row>
    <row r="26">
      <c r="A26" s="13" t="inlineStr">
        <is>
          <t>מדרגה 1</t>
        </is>
      </c>
      <c r="B26" s="14" t="n"/>
      <c r="C26" s="14" t="n"/>
      <c r="D26" s="14" t="n"/>
      <c r="E26" s="15" t="n">
        <v>3100000</v>
      </c>
      <c r="F26" s="16" t="n">
        <v>0.04650000000000001</v>
      </c>
      <c r="G26" s="17" t="n">
        <v>0</v>
      </c>
      <c r="H26" s="18" t="n">
        <v>0</v>
      </c>
      <c r="I26" s="19">
        <f>(F26-$I$9)/365*G26</f>
        <v/>
      </c>
      <c r="J26" s="19">
        <f>(F26-$J$9)/365*G26</f>
        <v/>
      </c>
    </row>
    <row r="27">
      <c r="A27" s="13" t="inlineStr">
        <is>
          <t>חריגה</t>
        </is>
      </c>
      <c r="B27" s="14" t="n"/>
      <c r="C27" s="14" t="n"/>
      <c r="D27" s="14" t="n"/>
      <c r="F27" s="16" t="n">
        <v>0.04650000000000001</v>
      </c>
      <c r="G27" s="17" t="n">
        <v>0</v>
      </c>
      <c r="H27" s="18" t="n">
        <v>0</v>
      </c>
      <c r="I27" s="19">
        <f>(F27-$I$9)/365*G27</f>
        <v/>
      </c>
      <c r="J27" s="19">
        <f>(F27-$J$9)/365*G27</f>
        <v/>
      </c>
    </row>
    <row r="28">
      <c r="H28" s="4" t="inlineStr">
        <is>
          <t>החזר</t>
        </is>
      </c>
      <c r="I28" s="20">
        <f>SUM(I11:I27)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</row>
    <row r="30">
      <c r="F30" s="2" t="inlineStr">
        <is>
          <t>חריגה</t>
        </is>
      </c>
      <c r="G30" s="21" t="n">
        <v>217257.92</v>
      </c>
    </row>
    <row r="31">
      <c r="G31" s="22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3" t="inlineStr">
        <is>
          <t>מספרי חובה - נתון זה הינו סיכום (חיבור) של יתרות החובה בפועל (לפי תאריכי ערך)</t>
        </is>
      </c>
    </row>
    <row r="36">
      <c r="A36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8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29" t="inlineStr">
        <is>
          <t>מספר חשבון 12-600-463560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0" t="inlineStr">
        <is>
          <t>קוד פעולה</t>
        </is>
      </c>
      <c r="C6" s="30" t="inlineStr">
        <is>
          <t>הפעולה</t>
        </is>
      </c>
      <c r="D6" s="30" t="inlineStr">
        <is>
          <t>פרטים</t>
        </is>
      </c>
      <c r="E6" s="30" t="inlineStr">
        <is>
          <t>אסמכתא</t>
        </is>
      </c>
      <c r="F6" s="30" t="inlineStr">
        <is>
          <t>צרור</t>
        </is>
      </c>
      <c r="G6" s="30" t="inlineStr">
        <is>
          <t>חובה</t>
        </is>
      </c>
      <c r="H6" s="30" t="inlineStr">
        <is>
          <t>זכות</t>
        </is>
      </c>
      <c r="I6" s="30" t="inlineStr">
        <is>
          <t>יתרה בש"ח</t>
        </is>
      </c>
      <c r="J6" s="27" t="inlineStr"/>
      <c r="K6" s="27" t="inlineStr">
        <is>
          <t>מספר ימים</t>
        </is>
      </c>
      <c r="L6" s="31">
        <f>$L$2+$L$3</f>
        <v/>
      </c>
      <c r="M6" s="31">
        <f>$M$2+$L$3</f>
        <v/>
      </c>
    </row>
    <row r="7">
      <c r="A7" s="32" t="n">
        <v>46023</v>
      </c>
    </row>
    <row r="9">
      <c r="L9" s="22">
        <f>SUM(L8:L8)</f>
        <v/>
      </c>
      <c r="M9" s="4" t="inlineStr">
        <is>
          <t>ריבית מחושבת</t>
        </is>
      </c>
    </row>
    <row r="10">
      <c r="L10" s="33" t="n">
        <v>-245208</v>
      </c>
      <c r="M10" s="2" t="inlineStr">
        <is>
          <t>ריבית שירדה בפועל</t>
        </is>
      </c>
    </row>
    <row r="11">
      <c r="L11" s="20">
        <f>L9-L10</f>
        <v/>
      </c>
      <c r="M11" s="34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2026-03-10T20:20:03Z</dcterms:created>
  <dcterms:modified xsi:type="dcterms:W3CDTF">2026-03-10T20:20:03Z</dcterms:modified>
</cp:coreProperties>
</file>