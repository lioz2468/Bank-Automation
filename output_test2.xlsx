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פירוט ריבית חובה לפי PDF" sheetId="1" state="visible" r:id="rId1"/>
    <sheet name="בנק" sheetId="2" state="visible" r:id="rId2"/>
    <sheet name="חישוב החזר לפי יתרות בבנ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"/>
    <numFmt numFmtId="165" formatCode="_ * #,##0.0_"/>
    <numFmt numFmtId="166" formatCode="yyyy-mm-dd h:mm:ss"/>
    <numFmt numFmtId="167" formatCode="DD.MM.YYYY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general" vertical="bottom" readingOrder="2"/>
    </xf>
    <xf numFmtId="0" fontId="2" fillId="0" borderId="0" applyAlignment="1" pivotButton="0" quotePrefix="0" xfId="0">
      <alignment horizontal="general" vertical="bottom" readingOrder="2"/>
    </xf>
    <xf numFmtId="0" fontId="3" fillId="0" borderId="0" applyAlignment="1" pivotButton="0" quotePrefix="0" xfId="0">
      <alignment horizontal="center" vertical="bottom" readingOrder="2"/>
    </xf>
    <xf numFmtId="0" fontId="3" fillId="0" borderId="0" applyAlignment="1" pivotButton="0" quotePrefix="0" xfId="0">
      <alignment horizontal="general" vertical="bottom" readingOrder="2"/>
    </xf>
    <xf numFmtId="10" fontId="2" fillId="0" borderId="0" applyAlignment="1" pivotButton="0" quotePrefix="0" xfId="0">
      <alignment horizontal="center" vertical="bottom" readingOrder="2"/>
    </xf>
    <xf numFmtId="2" fontId="2" fillId="0" borderId="0" applyAlignment="1" pivotButton="0" quotePrefix="0" xfId="0">
      <alignment horizontal="center" vertical="bottom" readingOrder="2"/>
    </xf>
    <xf numFmtId="10" fontId="2" fillId="2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wrapText="1" readingOrder="2"/>
    </xf>
    <xf numFmtId="0" fontId="3" fillId="3" borderId="1" applyAlignment="1" pivotButton="0" quotePrefix="0" xfId="0">
      <alignment horizontal="center" vertical="bottom" readingOrder="2"/>
    </xf>
    <xf numFmtId="0" fontId="3" fillId="4" borderId="1" applyAlignment="1" pivotButton="0" quotePrefix="0" xfId="0">
      <alignment horizontal="center" vertical="bottom" readingOrder="2"/>
    </xf>
    <xf numFmtId="10" fontId="3" fillId="0" borderId="0" applyAlignment="1" pivotButton="0" quotePrefix="0" xfId="0">
      <alignment horizontal="center" vertical="bottom" readingOrder="2"/>
    </xf>
    <xf numFmtId="164" fontId="2" fillId="0" borderId="1" applyAlignment="1" pivotButton="0" quotePrefix="0" xfId="0">
      <alignment horizontal="general" vertical="bottom" readingOrder="2"/>
    </xf>
    <xf numFmtId="0" fontId="2" fillId="0" borderId="1" applyAlignment="1" pivotButton="0" quotePrefix="0" xfId="0">
      <alignment horizontal="general" vertical="bottom" readingOrder="2"/>
    </xf>
    <xf numFmtId="0" fontId="0" fillId="0" borderId="1" pivotButton="0" quotePrefix="0" xfId="0"/>
    <xf numFmtId="3" fontId="2" fillId="0" borderId="1" applyAlignment="1" pivotButton="0" quotePrefix="0" xfId="0">
      <alignment horizontal="right" vertical="bottom" readingOrder="2"/>
    </xf>
    <xf numFmtId="10" fontId="2" fillId="0" borderId="1" applyAlignment="1" pivotButton="0" quotePrefix="0" xfId="0">
      <alignment horizontal="center" vertical="bottom" readingOrder="2"/>
    </xf>
    <xf numFmtId="165" fontId="2" fillId="0" borderId="1" applyAlignment="1" pivotButton="0" quotePrefix="0" xfId="0">
      <alignment horizontal="right" vertical="bottom" readingOrder="2"/>
    </xf>
    <xf numFmtId="4" fontId="2" fillId="0" borderId="1" applyAlignment="1" pivotButton="0" quotePrefix="0" xfId="0">
      <alignment horizontal="right" vertical="bottom" readingOrder="2"/>
    </xf>
    <xf numFmtId="4" fontId="0" fillId="0" borderId="0" applyAlignment="1" pivotButton="0" quotePrefix="0" xfId="0">
      <alignment horizontal="right" vertical="bottom" readingOrder="2"/>
    </xf>
    <xf numFmtId="4" fontId="3" fillId="4" borderId="0" applyAlignment="1" pivotButton="0" quotePrefix="0" xfId="0">
      <alignment horizontal="right" vertical="bottom" readingOrder="2"/>
    </xf>
    <xf numFmtId="4" fontId="2" fillId="0" borderId="0" applyAlignment="1" pivotButton="0" quotePrefix="0" xfId="0">
      <alignment horizontal="right" vertical="bottom" readingOrder="2"/>
    </xf>
    <xf numFmtId="4" fontId="3" fillId="0" borderId="0" applyAlignment="1" pivotButton="0" quotePrefix="0" xfId="0">
      <alignment horizontal="right" vertical="bottom" readingOrder="2"/>
    </xf>
    <xf numFmtId="0" fontId="2" fillId="4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readingOrder="2"/>
    </xf>
    <xf numFmtId="0" fontId="3" fillId="5" borderId="1" applyAlignment="1" pivotButton="0" quotePrefix="0" xfId="0">
      <alignment horizontal="center" vertical="bottom" readingOrder="2"/>
    </xf>
    <xf numFmtId="0" fontId="4" fillId="5" borderId="0" applyAlignment="1" pivotButton="0" quotePrefix="0" xfId="0">
      <alignment horizontal="general" vertical="bottom" readingOrder="2"/>
    </xf>
    <xf numFmtId="0" fontId="3" fillId="5" borderId="0" applyAlignment="1" pivotButton="0" quotePrefix="0" xfId="0">
      <alignment horizontal="general" vertical="bottom" readingOrder="2"/>
    </xf>
    <xf numFmtId="0" fontId="3" fillId="0" borderId="1" applyAlignment="1" pivotButton="0" quotePrefix="0" xfId="0">
      <alignment horizontal="center" vertical="bottom" readingOrder="2"/>
    </xf>
    <xf numFmtId="10" fontId="3" fillId="0" borderId="1" applyAlignment="1" pivotButton="0" quotePrefix="0" xfId="0">
      <alignment horizontal="center" vertical="bottom" readingOrder="2"/>
    </xf>
    <xf numFmtId="167" fontId="2" fillId="0" borderId="0" applyAlignment="1" pivotButton="0" quotePrefix="0" xfId="0">
      <alignment horizontal="center" vertical="bottom" readingOrder="2"/>
    </xf>
    <xf numFmtId="167" fontId="0" fillId="0" borderId="0" applyAlignment="1" pivotButton="0" quotePrefix="0" xfId="0">
      <alignment horizontal="center" vertical="bottom" readingOrder="2"/>
    </xf>
    <xf numFmtId="0" fontId="0" fillId="0" borderId="0" applyAlignment="1" pivotButton="0" quotePrefix="0" xfId="0">
      <alignment horizontal="center" vertical="bottom" readingOrder="2"/>
    </xf>
    <xf numFmtId="1" fontId="0" fillId="0" borderId="0" applyAlignment="1" pivotButton="0" quotePrefix="0" xfId="0">
      <alignment horizontal="center" vertical="bottom" readingOrder="2"/>
    </xf>
    <xf numFmtId="3" fontId="2" fillId="0" borderId="0" applyAlignment="1" pivotButton="0" quotePrefix="0" xfId="0">
      <alignment horizontal="right" vertical="bottom" readingOrder="2"/>
    </xf>
    <xf numFmtId="0" fontId="3" fillId="4" borderId="0" applyAlignment="1" pivotButton="0" quotePrefix="0" xfId="0">
      <alignment horizontal="general" vertical="bottom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18" customWidth="1" min="5" max="5"/>
    <col width="14" customWidth="1" min="6" max="6"/>
    <col width="20" customWidth="1" min="7" max="7"/>
    <col width="18" customWidth="1" min="8" max="8"/>
    <col width="14" customWidth="1" min="9" max="9"/>
    <col width="14" customWidth="1" min="10" max="10"/>
    <col width="20" customWidth="1" min="11" max="11"/>
    <col width="14" customWidth="1" min="12" max="12"/>
  </cols>
  <sheetData>
    <row r="1">
      <c r="A1" s="1" t="inlineStr">
        <is>
          <t>בנק הפועלים</t>
        </is>
      </c>
      <c r="F1" s="2" t="inlineStr">
        <is>
          <t>ארביטראז' גלובל אל פי</t>
        </is>
      </c>
      <c r="I1" s="3" t="inlineStr">
        <is>
          <t>תקופה 1</t>
        </is>
      </c>
      <c r="J1" s="3" t="inlineStr">
        <is>
          <t>תקופה 2</t>
        </is>
      </c>
      <c r="K1" s="3" t="inlineStr">
        <is>
          <t>תאריך שינוי ריבית</t>
        </is>
      </c>
    </row>
    <row r="2">
      <c r="A2" s="2" t="inlineStr">
        <is>
          <t>סניף מרכז תפעולי עסקי 600</t>
        </is>
      </c>
      <c r="F2" s="2" t="inlineStr">
        <is>
          <t>דרך בגין 144</t>
        </is>
      </c>
      <c r="H2" s="4" t="inlineStr">
        <is>
          <t>ריבית בנק ישראל</t>
        </is>
      </c>
      <c r="I2" s="5" t="n">
        <v>0.045</v>
      </c>
      <c r="J2" s="5" t="n">
        <v>0.0425</v>
      </c>
      <c r="K2" s="6" t="n">
        <v>27.11</v>
      </c>
    </row>
    <row r="3">
      <c r="A3" s="2" t="inlineStr">
        <is>
          <t>מס: 03-6532407</t>
        </is>
      </c>
      <c r="F3" s="2" t="inlineStr">
        <is>
          <t>תל אביב - יפו</t>
        </is>
      </c>
      <c r="H3" s="4" t="inlineStr">
        <is>
          <t>מרווח ריבית חובה</t>
        </is>
      </c>
      <c r="I3" s="7" t="n">
        <v>0.0035</v>
      </c>
    </row>
    <row r="4">
      <c r="A4" s="2" t="inlineStr">
        <is>
          <t>מס חשבון 463560</t>
        </is>
      </c>
      <c r="F4" s="2" t="inlineStr">
        <is>
          <t>6492102</t>
        </is>
      </c>
      <c r="H4" s="4" t="inlineStr">
        <is>
          <t>מרווח ריבית זכות</t>
        </is>
      </c>
      <c r="I4" s="7" t="n">
        <v>-0.006</v>
      </c>
    </row>
    <row r="5">
      <c r="A5" s="2" t="inlineStr">
        <is>
          <t xml:space="preserve">תאריך הדפסה </t>
        </is>
      </c>
    </row>
    <row r="7">
      <c r="A7" s="8" t="inlineStr">
        <is>
          <t>הנדון: פירוט חיוב הריבית מיום 01/01/26 לתקופה 01/10/25 - 31/12/25</t>
        </is>
      </c>
    </row>
    <row r="8">
      <c r="K8" s="2" t="inlineStr">
        <is>
          <t>אם יש יתרות זכות אז יחושב פה</t>
        </is>
      </c>
    </row>
    <row r="9">
      <c r="A9" s="9" t="inlineStr">
        <is>
          <t>מתאריך</t>
        </is>
      </c>
      <c r="B9" s="9" t="inlineStr">
        <is>
          <t>עד תאריך</t>
        </is>
      </c>
      <c r="C9" s="9" t="inlineStr">
        <is>
          <t>מסגרת חח"ד</t>
        </is>
      </c>
      <c r="D9" s="9" t="inlineStr">
        <is>
          <t>מסגרת נוספת חד-צדדית</t>
        </is>
      </c>
      <c r="E9" s="9" t="inlineStr">
        <is>
          <t>גובה המדרגה (ש"ח)</t>
        </is>
      </c>
      <c r="F9" s="9" t="inlineStr">
        <is>
          <t>אחוז ריבית</t>
        </is>
      </c>
      <c r="G9" s="10" t="inlineStr">
        <is>
          <t>מספרי חובה</t>
        </is>
      </c>
      <c r="H9" s="9" t="inlineStr">
        <is>
          <t>ריבית חובה (ש"ח)</t>
        </is>
      </c>
      <c r="I9" s="11">
        <f>$I$2+$I$3</f>
        <v/>
      </c>
      <c r="J9" s="11">
        <f>$J$2+$I$3</f>
        <v/>
      </c>
      <c r="K9" s="11">
        <f>$I$2+$I$4</f>
        <v/>
      </c>
      <c r="L9" s="11">
        <f>$J$2+$I$4</f>
        <v/>
      </c>
    </row>
    <row r="10">
      <c r="A10" s="12" t="inlineStr">
        <is>
          <t>01/10/25</t>
        </is>
      </c>
      <c r="B10" s="12" t="inlineStr">
        <is>
          <t>31/10/25</t>
        </is>
      </c>
      <c r="C10" s="13" t="inlineStr">
        <is>
          <t>13,000,000 ש"ח</t>
        </is>
      </c>
      <c r="D10" s="14" t="n"/>
      <c r="E10" s="14" t="n"/>
      <c r="F10" s="14" t="n"/>
      <c r="G10" s="14" t="n"/>
      <c r="H10" s="14" t="n"/>
    </row>
    <row r="11">
      <c r="A11" s="13" t="inlineStr">
        <is>
          <t>מדרגה 1</t>
        </is>
      </c>
      <c r="B11" s="14" t="n"/>
      <c r="C11" s="14" t="n"/>
      <c r="D11" s="14" t="n"/>
      <c r="E11" s="15" t="n">
        <v>13000000</v>
      </c>
      <c r="F11" s="16" t="n">
        <v>0.049</v>
      </c>
      <c r="G11" s="17" t="n">
        <v>83304292.11</v>
      </c>
      <c r="H11" s="18" t="n">
        <v>11183.32</v>
      </c>
      <c r="I11" s="19">
        <f>(F11-$I$9)/365*G11</f>
        <v/>
      </c>
    </row>
    <row r="12">
      <c r="A12" s="13" t="inlineStr">
        <is>
          <t>חריגה</t>
        </is>
      </c>
      <c r="B12" s="14" t="n"/>
      <c r="C12" s="14" t="n"/>
      <c r="D12" s="14" t="n"/>
      <c r="F12" s="16" t="n">
        <v>0.049</v>
      </c>
      <c r="G12" s="17" t="n">
        <v>208909220.12</v>
      </c>
      <c r="H12" s="18" t="n">
        <v>28045.35</v>
      </c>
      <c r="I12" s="19">
        <f>(F12-$I$9)/365*G12</f>
        <v/>
      </c>
    </row>
    <row r="13">
      <c r="A13" s="12" t="inlineStr">
        <is>
          <t>01/11/25</t>
        </is>
      </c>
      <c r="B13" s="12" t="inlineStr">
        <is>
          <t>25/11/25</t>
        </is>
      </c>
      <c r="C13" s="13" t="inlineStr">
        <is>
          <t>13,000,000 ש"ח</t>
        </is>
      </c>
      <c r="D13" s="14" t="n"/>
      <c r="E13" s="14" t="n"/>
      <c r="F13" s="14" t="n"/>
      <c r="G13" s="14" t="n"/>
      <c r="H13" s="14" t="n"/>
    </row>
    <row r="14">
      <c r="A14" s="13" t="inlineStr">
        <is>
          <t>מדרגה 1</t>
        </is>
      </c>
      <c r="B14" s="14" t="n"/>
      <c r="C14" s="14" t="n"/>
      <c r="D14" s="14" t="n"/>
      <c r="E14" s="15" t="n">
        <v>13000000</v>
      </c>
      <c r="F14" s="16" t="n">
        <v>0.049</v>
      </c>
      <c r="G14" s="17" t="n">
        <v>124902275.84</v>
      </c>
      <c r="H14" s="18" t="n">
        <v>16767.7</v>
      </c>
      <c r="I14" s="19">
        <f>(F14-$I$9)/365*G14</f>
        <v/>
      </c>
    </row>
    <row r="15">
      <c r="A15" s="13" t="inlineStr">
        <is>
          <t>חריגה</t>
        </is>
      </c>
      <c r="B15" s="14" t="n"/>
      <c r="C15" s="14" t="n"/>
      <c r="D15" s="14" t="n"/>
      <c r="F15" s="16" t="n">
        <v>0.049</v>
      </c>
      <c r="G15" s="17" t="n">
        <v>1409440543.08</v>
      </c>
      <c r="H15" s="18" t="n">
        <v>189212.57</v>
      </c>
      <c r="I15" s="19">
        <f>(F15-$I$9)/365*G15</f>
        <v/>
      </c>
    </row>
    <row r="16">
      <c r="A16" s="12" t="inlineStr">
        <is>
          <t>26/11/25</t>
        </is>
      </c>
      <c r="B16" s="12" t="inlineStr">
        <is>
          <t>26/11/25</t>
        </is>
      </c>
      <c r="C16" s="13" t="inlineStr">
        <is>
          <t>10,100,000 ש"ח</t>
        </is>
      </c>
      <c r="D16" s="14" t="n"/>
      <c r="E16" s="14" t="n"/>
      <c r="F16" s="14" t="n"/>
      <c r="G16" s="14" t="n"/>
      <c r="H16" s="14" t="n"/>
    </row>
    <row r="17">
      <c r="A17" s="13" t="inlineStr">
        <is>
          <t>מדרגה 1</t>
        </is>
      </c>
      <c r="B17" s="14" t="n"/>
      <c r="C17" s="14" t="n"/>
      <c r="D17" s="14" t="n"/>
      <c r="E17" s="15" t="n">
        <v>10100000</v>
      </c>
      <c r="F17" s="16" t="n">
        <v>0.049</v>
      </c>
      <c r="G17" s="17" t="n">
        <v>0</v>
      </c>
      <c r="H17" s="18" t="n">
        <v>0</v>
      </c>
      <c r="I17" s="19">
        <f>(F17-$I$9)/365*G17</f>
        <v/>
      </c>
      <c r="J17" s="19">
        <f>(F17-$J$9)/365*G17</f>
        <v/>
      </c>
    </row>
    <row r="18">
      <c r="A18" s="13" t="inlineStr">
        <is>
          <t>חריגה</t>
        </is>
      </c>
      <c r="B18" s="14" t="n"/>
      <c r="C18" s="14" t="n"/>
      <c r="D18" s="14" t="n"/>
      <c r="F18" s="16" t="n">
        <v>0.049</v>
      </c>
      <c r="G18" s="17" t="n">
        <v>0</v>
      </c>
      <c r="H18" s="18" t="n">
        <v>0</v>
      </c>
      <c r="I18" s="19">
        <f>(F18-$I$9)/365*G18</f>
        <v/>
      </c>
      <c r="J18" s="19">
        <f>(F18-$J$9)/365*G18</f>
        <v/>
      </c>
    </row>
    <row r="19">
      <c r="A19" s="12" t="inlineStr">
        <is>
          <t>27/11/25</t>
        </is>
      </c>
      <c r="B19" s="12" t="inlineStr">
        <is>
          <t>30/11/25</t>
        </is>
      </c>
      <c r="C19" s="13" t="inlineStr">
        <is>
          <t>10,100,000 ש"ח</t>
        </is>
      </c>
      <c r="D19" s="14" t="n"/>
      <c r="E19" s="14" t="n"/>
      <c r="F19" s="14" t="n"/>
      <c r="G19" s="14" t="n"/>
      <c r="H19" s="14" t="n"/>
    </row>
    <row r="20">
      <c r="A20" s="13" t="inlineStr">
        <is>
          <t>מדרגה 1</t>
        </is>
      </c>
      <c r="B20" s="14" t="n"/>
      <c r="C20" s="14" t="n"/>
      <c r="D20" s="14" t="n"/>
      <c r="E20" s="15" t="n">
        <v>10100000</v>
      </c>
      <c r="F20" s="16" t="n">
        <v>0.04650000000000001</v>
      </c>
      <c r="G20" s="17" t="n">
        <v>0</v>
      </c>
      <c r="H20" s="18" t="n">
        <v>0</v>
      </c>
      <c r="I20" s="19">
        <f>(F20-$I$9)/365*G20</f>
        <v/>
      </c>
      <c r="J20" s="19">
        <f>(F20-$J$9)/365*G20</f>
        <v/>
      </c>
    </row>
    <row r="21">
      <c r="A21" s="13" t="inlineStr">
        <is>
          <t>חריגה</t>
        </is>
      </c>
      <c r="B21" s="14" t="n"/>
      <c r="C21" s="14" t="n"/>
      <c r="D21" s="14" t="n"/>
      <c r="F21" s="16" t="n">
        <v>0.04650000000000001</v>
      </c>
      <c r="G21" s="17" t="n">
        <v>0</v>
      </c>
      <c r="H21" s="18" t="n">
        <v>0</v>
      </c>
      <c r="I21" s="19">
        <f>(F21-$I$9)/365*G21</f>
        <v/>
      </c>
      <c r="J21" s="19">
        <f>(F21-$J$9)/365*G21</f>
        <v/>
      </c>
    </row>
    <row r="22">
      <c r="A22" s="12" t="inlineStr">
        <is>
          <t>01/12/25</t>
        </is>
      </c>
      <c r="B22" s="12" t="inlineStr">
        <is>
          <t>21/12/25</t>
        </is>
      </c>
      <c r="C22" s="13" t="inlineStr">
        <is>
          <t>10,100,000 ש"ח</t>
        </is>
      </c>
      <c r="D22" s="14" t="n"/>
      <c r="E22" s="14" t="n"/>
      <c r="F22" s="14" t="n"/>
      <c r="G22" s="14" t="n"/>
      <c r="H22" s="14" t="n"/>
    </row>
    <row r="23">
      <c r="A23" s="13" t="inlineStr">
        <is>
          <t>מדרגה 1</t>
        </is>
      </c>
      <c r="B23" s="14" t="n"/>
      <c r="C23" s="14" t="n"/>
      <c r="D23" s="14" t="n"/>
      <c r="E23" s="15" t="n">
        <v>10100000</v>
      </c>
      <c r="F23" s="16" t="n">
        <v>0.04650000000000001</v>
      </c>
      <c r="G23" s="17" t="n">
        <v>0</v>
      </c>
      <c r="H23" s="18" t="n">
        <v>0</v>
      </c>
      <c r="I23" s="19">
        <f>(F23-$I$9)/365*G23</f>
        <v/>
      </c>
      <c r="J23" s="19">
        <f>(F23-$J$9)/365*G23</f>
        <v/>
      </c>
    </row>
    <row r="24">
      <c r="A24" s="13" t="inlineStr">
        <is>
          <t>חריגה</t>
        </is>
      </c>
      <c r="B24" s="14" t="n"/>
      <c r="C24" s="14" t="n"/>
      <c r="D24" s="14" t="n"/>
      <c r="F24" s="16" t="n">
        <v>0.04650000000000001</v>
      </c>
      <c r="G24" s="17" t="n">
        <v>0</v>
      </c>
      <c r="H24" s="18" t="n">
        <v>0</v>
      </c>
      <c r="I24" s="19">
        <f>(F24-$I$9)/365*G24</f>
        <v/>
      </c>
      <c r="J24" s="19">
        <f>(F24-$J$9)/365*G24</f>
        <v/>
      </c>
    </row>
    <row r="25">
      <c r="A25" s="12" t="inlineStr">
        <is>
          <t>22/12/25</t>
        </is>
      </c>
      <c r="B25" s="12" t="inlineStr">
        <is>
          <t>31/12/25</t>
        </is>
      </c>
      <c r="C25" s="13" t="inlineStr">
        <is>
          <t>3,100,000 ש"ח</t>
        </is>
      </c>
      <c r="D25" s="14" t="n"/>
      <c r="E25" s="14" t="n"/>
      <c r="F25" s="14" t="n"/>
      <c r="G25" s="14" t="n"/>
      <c r="H25" s="14" t="n"/>
    </row>
    <row r="26">
      <c r="A26" s="13" t="inlineStr">
        <is>
          <t>מדרגה 1</t>
        </is>
      </c>
      <c r="B26" s="14" t="n"/>
      <c r="C26" s="14" t="n"/>
      <c r="D26" s="14" t="n"/>
      <c r="E26" s="15" t="n">
        <v>3100000</v>
      </c>
      <c r="F26" s="16" t="n">
        <v>0.04650000000000001</v>
      </c>
      <c r="G26" s="17" t="n">
        <v>0</v>
      </c>
      <c r="H26" s="18" t="n">
        <v>0</v>
      </c>
      <c r="I26" s="19">
        <f>(F26-$I$9)/365*G26</f>
        <v/>
      </c>
      <c r="J26" s="19">
        <f>(F26-$J$9)/365*G26</f>
        <v/>
      </c>
    </row>
    <row r="27">
      <c r="A27" s="13" t="inlineStr">
        <is>
          <t>חריגה</t>
        </is>
      </c>
      <c r="B27" s="14" t="n"/>
      <c r="C27" s="14" t="n"/>
      <c r="D27" s="14" t="n"/>
      <c r="F27" s="16" t="n">
        <v>0.04650000000000001</v>
      </c>
      <c r="G27" s="17" t="n">
        <v>0</v>
      </c>
      <c r="H27" s="18" t="n">
        <v>0</v>
      </c>
      <c r="I27" s="19">
        <f>(F27-$I$9)/365*G27</f>
        <v/>
      </c>
      <c r="J27" s="19">
        <f>(F27-$J$9)/365*G27</f>
        <v/>
      </c>
    </row>
    <row r="28">
      <c r="H28" s="4" t="inlineStr">
        <is>
          <t>החזר</t>
        </is>
      </c>
      <c r="I28" s="20">
        <f>SUM(I11:I27)</f>
        <v/>
      </c>
    </row>
    <row r="29">
      <c r="A29" s="4" t="inlineStr">
        <is>
          <t>סה"כ ריבית חובה:</t>
        </is>
      </c>
      <c r="F29" s="2" t="inlineStr">
        <is>
          <t>מדרגה 1</t>
        </is>
      </c>
      <c r="G29" s="21" t="n">
        <v>27951.02</v>
      </c>
    </row>
    <row r="30">
      <c r="F30" s="2" t="inlineStr">
        <is>
          <t>חריגה</t>
        </is>
      </c>
      <c r="G30" s="21" t="n">
        <v>217257.92</v>
      </c>
    </row>
    <row r="31">
      <c r="G31" s="22">
        <f>SUM(G29:G30)</f>
        <v/>
      </c>
    </row>
    <row r="32">
      <c r="A32" s="4" t="inlineStr">
        <is>
          <t>חשבונך חויב ב- 01/01/26 בסכום של: 245,208.93 ש"ח.</t>
        </is>
      </c>
    </row>
    <row r="34">
      <c r="A34" s="4" t="inlineStr">
        <is>
          <t>לידיעתך:</t>
        </is>
      </c>
    </row>
    <row r="35">
      <c r="A35" s="23" t="inlineStr">
        <is>
          <t>מספרי חובה - נתון זה הינו סיכום (חיבור) של יתרות החובה בפועל (לפי תאריכי ערך)</t>
        </is>
      </c>
    </row>
    <row r="36">
      <c r="A36" s="24" t="inlineStr">
        <is>
          <t>בתקופת החישוב לגביה מחושבת ריבית החובה במדרגה הנדונה.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0" customWidth="1" min="10" max="10"/>
    <col width="14" customWidth="1" min="11" max="11"/>
    <col width="22" customWidth="1" min="12" max="12"/>
    <col width="12" customWidth="1" min="13" max="13"/>
    <col width="12" customWidth="1" min="14" max="14"/>
    <col width="18" customWidth="1" min="15" max="15"/>
  </cols>
  <sheetData>
    <row r="1">
      <c r="M1" s="3" t="inlineStr">
        <is>
          <t>תקופה 1</t>
        </is>
      </c>
      <c r="N1" s="3" t="inlineStr">
        <is>
          <t>תקופה 2</t>
        </is>
      </c>
      <c r="O1" s="3" t="inlineStr">
        <is>
          <t>תאריך שינוי ריבית</t>
        </is>
      </c>
    </row>
    <row r="2">
      <c r="L2" s="4" t="inlineStr">
        <is>
          <t>ריבית בנק ישראל</t>
        </is>
      </c>
      <c r="M2" s="5" t="n">
        <v>0.045</v>
      </c>
      <c r="N2" s="5" t="n">
        <v>0.0425</v>
      </c>
      <c r="O2" s="25" t="inlineStr">
        <is>
          <t>27.11</t>
        </is>
      </c>
    </row>
    <row r="3">
      <c r="A3" s="26" t="inlineStr">
        <is>
          <t>תנועות בחשבון</t>
        </is>
      </c>
      <c r="L3" s="4" t="inlineStr">
        <is>
          <t>מרווח ריבית חובה</t>
        </is>
      </c>
      <c r="M3" s="7" t="n">
        <v>0.0035</v>
      </c>
    </row>
    <row r="4">
      <c r="A4" s="4" t="inlineStr">
        <is>
          <t>מספר חשבון 12-600-463560 לתקופה: 01/10/25 - 31/12/25</t>
        </is>
      </c>
      <c r="L4" s="4" t="inlineStr">
        <is>
          <t>מרווח ריבית זכות</t>
        </is>
      </c>
      <c r="M4" s="7" t="n">
        <v>-0.006</v>
      </c>
    </row>
    <row r="5">
      <c r="A5" s="27" t="inlineStr">
        <is>
          <t>תאריך</t>
        </is>
      </c>
      <c r="B5" s="27" t="inlineStr">
        <is>
          <t>קוד פעולה</t>
        </is>
      </c>
      <c r="C5" s="27" t="inlineStr">
        <is>
          <t>הפעולה</t>
        </is>
      </c>
      <c r="D5" s="27" t="inlineStr">
        <is>
          <t>פרטים</t>
        </is>
      </c>
      <c r="E5" s="27" t="inlineStr">
        <is>
          <t>אסמכתא</t>
        </is>
      </c>
      <c r="F5" s="27" t="inlineStr">
        <is>
          <t>צרור</t>
        </is>
      </c>
      <c r="G5" s="27" t="inlineStr">
        <is>
          <t>חובה</t>
        </is>
      </c>
      <c r="H5" s="27" t="inlineStr">
        <is>
          <t>זכות</t>
        </is>
      </c>
      <c r="I5" s="27" t="inlineStr">
        <is>
          <t>יתרה בש"ח</t>
        </is>
      </c>
      <c r="J5" s="27" t="inlineStr">
        <is>
          <t>הערה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2" customWidth="1" min="10" max="10"/>
    <col width="12" customWidth="1" min="11" max="11"/>
    <col width="16" customWidth="1" min="12" max="12"/>
    <col width="22" customWidth="1" min="13" max="13"/>
    <col width="18" customWidth="1" min="14" max="14"/>
  </cols>
  <sheetData>
    <row r="1">
      <c r="L1" s="3" t="inlineStr">
        <is>
          <t>תקופה 1</t>
        </is>
      </c>
      <c r="M1" s="3" t="inlineStr">
        <is>
          <t>תקופה 2</t>
        </is>
      </c>
      <c r="N1" s="3" t="inlineStr">
        <is>
          <t>תאריך שינוי ריבית</t>
        </is>
      </c>
    </row>
    <row r="2">
      <c r="K2" s="4" t="inlineStr">
        <is>
          <t>ריבית בנק ישראל</t>
        </is>
      </c>
      <c r="L2" s="5" t="n">
        <v>0.045</v>
      </c>
      <c r="M2" s="5" t="n">
        <v>0.0425</v>
      </c>
      <c r="N2" s="25" t="inlineStr">
        <is>
          <t>27.11</t>
        </is>
      </c>
    </row>
    <row r="3">
      <c r="K3" s="4" t="inlineStr">
        <is>
          <t>מרווח ריבית חובה</t>
        </is>
      </c>
      <c r="L3" s="7" t="n">
        <v>0.0035</v>
      </c>
    </row>
    <row r="4">
      <c r="A4" s="28" t="inlineStr">
        <is>
          <t>תנועות בחשבון</t>
        </is>
      </c>
      <c r="K4" s="4" t="inlineStr">
        <is>
          <t>מרווח ריבית זכות</t>
        </is>
      </c>
      <c r="L4" s="7" t="n">
        <v>-0.006</v>
      </c>
    </row>
    <row r="5">
      <c r="A5" s="29" t="inlineStr">
        <is>
          <t>מספר חשבון 12-600-463560 לתקופה: 01/10/25 - 31/12/25</t>
        </is>
      </c>
      <c r="L5" s="3" t="inlineStr">
        <is>
          <t>ריבית חובה</t>
        </is>
      </c>
      <c r="M5" s="3" t="inlineStr">
        <is>
          <t>ריבית חובה 2</t>
        </is>
      </c>
    </row>
    <row r="6">
      <c r="A6" s="27" t="inlineStr">
        <is>
          <t>תאריך</t>
        </is>
      </c>
      <c r="B6" s="30" t="inlineStr">
        <is>
          <t>קוד פעולה</t>
        </is>
      </c>
      <c r="C6" s="30" t="inlineStr">
        <is>
          <t>הפעולה</t>
        </is>
      </c>
      <c r="D6" s="30" t="inlineStr">
        <is>
          <t>פרטים</t>
        </is>
      </c>
      <c r="E6" s="30" t="inlineStr">
        <is>
          <t>אסמכתא</t>
        </is>
      </c>
      <c r="F6" s="30" t="inlineStr">
        <is>
          <t>צרור</t>
        </is>
      </c>
      <c r="G6" s="30" t="inlineStr">
        <is>
          <t>חובה</t>
        </is>
      </c>
      <c r="H6" s="30" t="inlineStr">
        <is>
          <t>זכות</t>
        </is>
      </c>
      <c r="I6" s="30" t="inlineStr">
        <is>
          <t>יתרה בש"ח</t>
        </is>
      </c>
      <c r="J6" s="30" t="inlineStr"/>
      <c r="K6" s="27" t="inlineStr">
        <is>
          <t>מספר ימים</t>
        </is>
      </c>
      <c r="L6" s="31">
        <f>$L$2+$L$3</f>
        <v/>
      </c>
      <c r="M6" s="31">
        <f>$M$2+$L$3</f>
        <v/>
      </c>
    </row>
    <row r="7">
      <c r="A7" s="32" t="n">
        <v>46023</v>
      </c>
    </row>
    <row r="8">
      <c r="A8" s="33">
        <f>IFERROR(INDEX('בנק'!$A:$A,AGGREGATE(15,6,ROW($A$6:$A$500)/(('בנק'!$I$6:$I$500&lt;0)*('בנק'!$I$6:$I$500&lt;&gt;"")),ROW()-7)),"")</f>
        <v/>
      </c>
      <c r="B8" s="34">
        <f>IFERROR(INDEX('בנק'!$B:$B,AGGREGATE(15,6,ROW($A$6:$A$500)/(('בנק'!$I$6:$I$500&lt;0)*('בנק'!$I$6:$I$500&lt;&gt;"")),ROW()-7)),"")</f>
        <v/>
      </c>
      <c r="C8" s="34">
        <f>IFERROR(INDEX('בנק'!$C:$C,AGGREGATE(15,6,ROW($A$6:$A$500)/(('בנק'!$I$6:$I$500&lt;0)*('בנק'!$I$6:$I$500&lt;&gt;"")),ROW()-7)),"")</f>
        <v/>
      </c>
      <c r="D8" s="34">
        <f>IFERROR(INDEX('בנק'!$D:$D,AGGREGATE(15,6,ROW($A$6:$A$500)/(('בנק'!$I$6:$I$500&lt;0)*('בנק'!$I$6:$I$500&lt;&gt;"")),ROW()-7)),"")</f>
        <v/>
      </c>
      <c r="E8" s="34">
        <f>IFERROR(INDEX('בנק'!$E:$E,AGGREGATE(15,6,ROW($A$6:$A$500)/(('בנק'!$I$6:$I$500&lt;0)*('בנק'!$I$6:$I$500&lt;&gt;"")),ROW()-7)),"")</f>
        <v/>
      </c>
      <c r="F8" s="34">
        <f>IFERROR(INDEX('בנק'!$F:$F,AGGREGATE(15,6,ROW($A$6:$A$500)/(('בנק'!$I$6:$I$500&lt;0)*('בנק'!$I$6:$I$500&lt;&gt;"")),ROW()-7)),"")</f>
        <v/>
      </c>
      <c r="G8" s="19">
        <f>IFERROR(INDEX('בנק'!$G:$G,AGGREGATE(15,6,ROW($A$6:$A$500)/(('בנק'!$I$6:$I$500&lt;0)*('בנק'!$I$6:$I$500&lt;&gt;"")),ROW()-7)),"")</f>
        <v/>
      </c>
      <c r="H8" s="19">
        <f>IFERROR(INDEX('בנק'!$H:$H,AGGREGATE(15,6,ROW($A$6:$A$500)/(('בנק'!$I$6:$I$500&lt;0)*('בנק'!$I$6:$I$500&lt;&gt;"")),ROW()-7)),"")</f>
        <v/>
      </c>
      <c r="I8" s="19">
        <f>IFERROR(INDEX('בנק'!$I:$I,AGGREGATE(15,6,ROW($A$6:$A$500)/(('בנק'!$I$6:$I$500&lt;0)*('בנק'!$I$6:$I$500&lt;&gt;"")),ROW()-7)),"")</f>
        <v/>
      </c>
      <c r="J8" s="35">
        <f>IFERROR(A7-A8,"")</f>
        <v/>
      </c>
      <c r="K8" s="35">
        <f>IFERROR(A8-A9,"")</f>
        <v/>
      </c>
      <c r="L8" s="19">
        <f>IFERROR($L$6/365*I8*J8,"")</f>
        <v/>
      </c>
    </row>
    <row r="9">
      <c r="A9" s="33">
        <f>IFERROR(INDEX('בנק'!$A:$A,AGGREGATE(15,6,ROW($A$6:$A$500)/(('בנק'!$I$6:$I$500&lt;0)*('בנק'!$I$6:$I$500&lt;&gt;"")),ROW()-7)),"")</f>
        <v/>
      </c>
      <c r="B9" s="34">
        <f>IFERROR(INDEX('בנק'!$B:$B,AGGREGATE(15,6,ROW($A$6:$A$500)/(('בנק'!$I$6:$I$500&lt;0)*('בנק'!$I$6:$I$500&lt;&gt;"")),ROW()-7)),"")</f>
        <v/>
      </c>
      <c r="C9" s="34">
        <f>IFERROR(INDEX('בנק'!$C:$C,AGGREGATE(15,6,ROW($A$6:$A$500)/(('בנק'!$I$6:$I$500&lt;0)*('בנק'!$I$6:$I$500&lt;&gt;"")),ROW()-7)),"")</f>
        <v/>
      </c>
      <c r="D9" s="34">
        <f>IFERROR(INDEX('בנק'!$D:$D,AGGREGATE(15,6,ROW($A$6:$A$500)/(('בנק'!$I$6:$I$500&lt;0)*('בנק'!$I$6:$I$500&lt;&gt;"")),ROW()-7)),"")</f>
        <v/>
      </c>
      <c r="E9" s="34">
        <f>IFERROR(INDEX('בנק'!$E:$E,AGGREGATE(15,6,ROW($A$6:$A$500)/(('בנק'!$I$6:$I$500&lt;0)*('בנק'!$I$6:$I$500&lt;&gt;"")),ROW()-7)),"")</f>
        <v/>
      </c>
      <c r="F9" s="34">
        <f>IFERROR(INDEX('בנק'!$F:$F,AGGREGATE(15,6,ROW($A$6:$A$500)/(('בנק'!$I$6:$I$500&lt;0)*('בנק'!$I$6:$I$500&lt;&gt;"")),ROW()-7)),"")</f>
        <v/>
      </c>
      <c r="G9" s="19">
        <f>IFERROR(INDEX('בנק'!$G:$G,AGGREGATE(15,6,ROW($A$6:$A$500)/(('בנק'!$I$6:$I$500&lt;0)*('בנק'!$I$6:$I$500&lt;&gt;"")),ROW()-7)),"")</f>
        <v/>
      </c>
      <c r="H9" s="19">
        <f>IFERROR(INDEX('בנק'!$H:$H,AGGREGATE(15,6,ROW($A$6:$A$500)/(('בנק'!$I$6:$I$500&lt;0)*('בנק'!$I$6:$I$500&lt;&gt;"")),ROW()-7)),"")</f>
        <v/>
      </c>
      <c r="I9" s="19">
        <f>IFERROR(INDEX('בנק'!$I:$I,AGGREGATE(15,6,ROW($A$6:$A$500)/(('בנק'!$I$6:$I$500&lt;0)*('בנק'!$I$6:$I$500&lt;&gt;"")),ROW()-7)),"")</f>
        <v/>
      </c>
      <c r="J9" s="35">
        <f>IFERROR(A8-A9,"")</f>
        <v/>
      </c>
      <c r="K9" s="35">
        <f>IFERROR(A9-A10,"")</f>
        <v/>
      </c>
      <c r="L9" s="19">
        <f>IFERROR($L$6/365*I9*J9,"")</f>
        <v/>
      </c>
    </row>
    <row r="10">
      <c r="A10" s="33">
        <f>IFERROR(INDEX('בנק'!$A:$A,AGGREGATE(15,6,ROW($A$6:$A$500)/(('בנק'!$I$6:$I$500&lt;0)*('בנק'!$I$6:$I$500&lt;&gt;"")),ROW()-7)),"")</f>
        <v/>
      </c>
      <c r="B10" s="34">
        <f>IFERROR(INDEX('בנק'!$B:$B,AGGREGATE(15,6,ROW($A$6:$A$500)/(('בנק'!$I$6:$I$500&lt;0)*('בנק'!$I$6:$I$500&lt;&gt;"")),ROW()-7)),"")</f>
        <v/>
      </c>
      <c r="C10" s="34">
        <f>IFERROR(INDEX('בנק'!$C:$C,AGGREGATE(15,6,ROW($A$6:$A$500)/(('בנק'!$I$6:$I$500&lt;0)*('בנק'!$I$6:$I$500&lt;&gt;"")),ROW()-7)),"")</f>
        <v/>
      </c>
      <c r="D10" s="34">
        <f>IFERROR(INDEX('בנק'!$D:$D,AGGREGATE(15,6,ROW($A$6:$A$500)/(('בנק'!$I$6:$I$500&lt;0)*('בנק'!$I$6:$I$500&lt;&gt;"")),ROW()-7)),"")</f>
        <v/>
      </c>
      <c r="E10" s="34">
        <f>IFERROR(INDEX('בנק'!$E:$E,AGGREGATE(15,6,ROW($A$6:$A$500)/(('בנק'!$I$6:$I$500&lt;0)*('בנק'!$I$6:$I$500&lt;&gt;"")),ROW()-7)),"")</f>
        <v/>
      </c>
      <c r="F10" s="34">
        <f>IFERROR(INDEX('בנק'!$F:$F,AGGREGATE(15,6,ROW($A$6:$A$500)/(('בנק'!$I$6:$I$500&lt;0)*('בנק'!$I$6:$I$500&lt;&gt;"")),ROW()-7)),"")</f>
        <v/>
      </c>
      <c r="G10" s="19">
        <f>IFERROR(INDEX('בנק'!$G:$G,AGGREGATE(15,6,ROW($A$6:$A$500)/(('בנק'!$I$6:$I$500&lt;0)*('בנק'!$I$6:$I$500&lt;&gt;"")),ROW()-7)),"")</f>
        <v/>
      </c>
      <c r="H10" s="19">
        <f>IFERROR(INDEX('בנק'!$H:$H,AGGREGATE(15,6,ROW($A$6:$A$500)/(('בנק'!$I$6:$I$500&lt;0)*('בנק'!$I$6:$I$500&lt;&gt;"")),ROW()-7)),"")</f>
        <v/>
      </c>
      <c r="I10" s="19">
        <f>IFERROR(INDEX('בנק'!$I:$I,AGGREGATE(15,6,ROW($A$6:$A$500)/(('בנק'!$I$6:$I$500&lt;0)*('בנק'!$I$6:$I$500&lt;&gt;"")),ROW()-7)),"")</f>
        <v/>
      </c>
      <c r="J10" s="35">
        <f>IFERROR(A9-A10,"")</f>
        <v/>
      </c>
      <c r="K10" s="35">
        <f>IFERROR(A10-A11,"")</f>
        <v/>
      </c>
      <c r="L10" s="19">
        <f>IFERROR($L$6/365*I10*J10,"")</f>
        <v/>
      </c>
    </row>
    <row r="11">
      <c r="A11" s="33">
        <f>IFERROR(INDEX('בנק'!$A:$A,AGGREGATE(15,6,ROW($A$6:$A$500)/(('בנק'!$I$6:$I$500&lt;0)*('בנק'!$I$6:$I$500&lt;&gt;"")),ROW()-7)),"")</f>
        <v/>
      </c>
      <c r="B11" s="34">
        <f>IFERROR(INDEX('בנק'!$B:$B,AGGREGATE(15,6,ROW($A$6:$A$500)/(('בנק'!$I$6:$I$500&lt;0)*('בנק'!$I$6:$I$500&lt;&gt;"")),ROW()-7)),"")</f>
        <v/>
      </c>
      <c r="C11" s="34">
        <f>IFERROR(INDEX('בנק'!$C:$C,AGGREGATE(15,6,ROW($A$6:$A$500)/(('בנק'!$I$6:$I$500&lt;0)*('בנק'!$I$6:$I$500&lt;&gt;"")),ROW()-7)),"")</f>
        <v/>
      </c>
      <c r="D11" s="34">
        <f>IFERROR(INDEX('בנק'!$D:$D,AGGREGATE(15,6,ROW($A$6:$A$500)/(('בנק'!$I$6:$I$500&lt;0)*('בנק'!$I$6:$I$500&lt;&gt;"")),ROW()-7)),"")</f>
        <v/>
      </c>
      <c r="E11" s="34">
        <f>IFERROR(INDEX('בנק'!$E:$E,AGGREGATE(15,6,ROW($A$6:$A$500)/(('בנק'!$I$6:$I$500&lt;0)*('בנק'!$I$6:$I$500&lt;&gt;"")),ROW()-7)),"")</f>
        <v/>
      </c>
      <c r="F11" s="34">
        <f>IFERROR(INDEX('בנק'!$F:$F,AGGREGATE(15,6,ROW($A$6:$A$500)/(('בנק'!$I$6:$I$500&lt;0)*('בנק'!$I$6:$I$500&lt;&gt;"")),ROW()-7)),"")</f>
        <v/>
      </c>
      <c r="G11" s="19">
        <f>IFERROR(INDEX('בנק'!$G:$G,AGGREGATE(15,6,ROW($A$6:$A$500)/(('בנק'!$I$6:$I$500&lt;0)*('בנק'!$I$6:$I$500&lt;&gt;"")),ROW()-7)),"")</f>
        <v/>
      </c>
      <c r="H11" s="19">
        <f>IFERROR(INDEX('בנק'!$H:$H,AGGREGATE(15,6,ROW($A$6:$A$500)/(('בנק'!$I$6:$I$500&lt;0)*('בנק'!$I$6:$I$500&lt;&gt;"")),ROW()-7)),"")</f>
        <v/>
      </c>
      <c r="I11" s="19">
        <f>IFERROR(INDEX('בנק'!$I:$I,AGGREGATE(15,6,ROW($A$6:$A$500)/(('בנק'!$I$6:$I$500&lt;0)*('בנק'!$I$6:$I$500&lt;&gt;"")),ROW()-7)),"")</f>
        <v/>
      </c>
      <c r="J11" s="35">
        <f>IFERROR(A10-A11,"")</f>
        <v/>
      </c>
      <c r="K11" s="35">
        <f>IFERROR(A11-A12,"")</f>
        <v/>
      </c>
      <c r="L11" s="19">
        <f>IFERROR($L$6/365*I11*J11,"")</f>
        <v/>
      </c>
    </row>
    <row r="12">
      <c r="A12" s="33">
        <f>IFERROR(INDEX('בנק'!$A:$A,AGGREGATE(15,6,ROW($A$6:$A$500)/(('בנק'!$I$6:$I$500&lt;0)*('בנק'!$I$6:$I$500&lt;&gt;"")),ROW()-7)),"")</f>
        <v/>
      </c>
      <c r="B12" s="34">
        <f>IFERROR(INDEX('בנק'!$B:$B,AGGREGATE(15,6,ROW($A$6:$A$500)/(('בנק'!$I$6:$I$500&lt;0)*('בנק'!$I$6:$I$500&lt;&gt;"")),ROW()-7)),"")</f>
        <v/>
      </c>
      <c r="C12" s="34">
        <f>IFERROR(INDEX('בנק'!$C:$C,AGGREGATE(15,6,ROW($A$6:$A$500)/(('בנק'!$I$6:$I$500&lt;0)*('בנק'!$I$6:$I$500&lt;&gt;"")),ROW()-7)),"")</f>
        <v/>
      </c>
      <c r="D12" s="34">
        <f>IFERROR(INDEX('בנק'!$D:$D,AGGREGATE(15,6,ROW($A$6:$A$500)/(('בנק'!$I$6:$I$500&lt;0)*('בנק'!$I$6:$I$500&lt;&gt;"")),ROW()-7)),"")</f>
        <v/>
      </c>
      <c r="E12" s="34">
        <f>IFERROR(INDEX('בנק'!$E:$E,AGGREGATE(15,6,ROW($A$6:$A$500)/(('בנק'!$I$6:$I$500&lt;0)*('בנק'!$I$6:$I$500&lt;&gt;"")),ROW()-7)),"")</f>
        <v/>
      </c>
      <c r="F12" s="34">
        <f>IFERROR(INDEX('בנק'!$F:$F,AGGREGATE(15,6,ROW($A$6:$A$500)/(('בנק'!$I$6:$I$500&lt;0)*('בנק'!$I$6:$I$500&lt;&gt;"")),ROW()-7)),"")</f>
        <v/>
      </c>
      <c r="G12" s="19">
        <f>IFERROR(INDEX('בנק'!$G:$G,AGGREGATE(15,6,ROW($A$6:$A$500)/(('בנק'!$I$6:$I$500&lt;0)*('בנק'!$I$6:$I$500&lt;&gt;"")),ROW()-7)),"")</f>
        <v/>
      </c>
      <c r="H12" s="19">
        <f>IFERROR(INDEX('בנק'!$H:$H,AGGREGATE(15,6,ROW($A$6:$A$500)/(('בנק'!$I$6:$I$500&lt;0)*('בנק'!$I$6:$I$500&lt;&gt;"")),ROW()-7)),"")</f>
        <v/>
      </c>
      <c r="I12" s="19">
        <f>IFERROR(INDEX('בנק'!$I:$I,AGGREGATE(15,6,ROW($A$6:$A$500)/(('בנק'!$I$6:$I$500&lt;0)*('בנק'!$I$6:$I$500&lt;&gt;"")),ROW()-7)),"")</f>
        <v/>
      </c>
      <c r="J12" s="35">
        <f>IFERROR(A11-A12,"")</f>
        <v/>
      </c>
      <c r="K12" s="35">
        <f>IFERROR(A12-A13,"")</f>
        <v/>
      </c>
      <c r="L12" s="19">
        <f>IFERROR($L$6/365*I12*J12,"")</f>
        <v/>
      </c>
    </row>
    <row r="13">
      <c r="A13" s="33">
        <f>IFERROR(INDEX('בנק'!$A:$A,AGGREGATE(15,6,ROW($A$6:$A$500)/(('בנק'!$I$6:$I$500&lt;0)*('בנק'!$I$6:$I$500&lt;&gt;"")),ROW()-7)),"")</f>
        <v/>
      </c>
      <c r="B13" s="34">
        <f>IFERROR(INDEX('בנק'!$B:$B,AGGREGATE(15,6,ROW($A$6:$A$500)/(('בנק'!$I$6:$I$500&lt;0)*('בנק'!$I$6:$I$500&lt;&gt;"")),ROW()-7)),"")</f>
        <v/>
      </c>
      <c r="C13" s="34">
        <f>IFERROR(INDEX('בנק'!$C:$C,AGGREGATE(15,6,ROW($A$6:$A$500)/(('בנק'!$I$6:$I$500&lt;0)*('בנק'!$I$6:$I$500&lt;&gt;"")),ROW()-7)),"")</f>
        <v/>
      </c>
      <c r="D13" s="34">
        <f>IFERROR(INDEX('בנק'!$D:$D,AGGREGATE(15,6,ROW($A$6:$A$500)/(('בנק'!$I$6:$I$500&lt;0)*('בנק'!$I$6:$I$500&lt;&gt;"")),ROW()-7)),"")</f>
        <v/>
      </c>
      <c r="E13" s="34">
        <f>IFERROR(INDEX('בנק'!$E:$E,AGGREGATE(15,6,ROW($A$6:$A$500)/(('בנק'!$I$6:$I$500&lt;0)*('בנק'!$I$6:$I$500&lt;&gt;"")),ROW()-7)),"")</f>
        <v/>
      </c>
      <c r="F13" s="34">
        <f>IFERROR(INDEX('בנק'!$F:$F,AGGREGATE(15,6,ROW($A$6:$A$500)/(('בנק'!$I$6:$I$500&lt;0)*('בנק'!$I$6:$I$500&lt;&gt;"")),ROW()-7)),"")</f>
        <v/>
      </c>
      <c r="G13" s="19">
        <f>IFERROR(INDEX('בנק'!$G:$G,AGGREGATE(15,6,ROW($A$6:$A$500)/(('בנק'!$I$6:$I$500&lt;0)*('בנק'!$I$6:$I$500&lt;&gt;"")),ROW()-7)),"")</f>
        <v/>
      </c>
      <c r="H13" s="19">
        <f>IFERROR(INDEX('בנק'!$H:$H,AGGREGATE(15,6,ROW($A$6:$A$500)/(('בנק'!$I$6:$I$500&lt;0)*('בנק'!$I$6:$I$500&lt;&gt;"")),ROW()-7)),"")</f>
        <v/>
      </c>
      <c r="I13" s="19">
        <f>IFERROR(INDEX('בנק'!$I:$I,AGGREGATE(15,6,ROW($A$6:$A$500)/(('בנק'!$I$6:$I$500&lt;0)*('בנק'!$I$6:$I$500&lt;&gt;"")),ROW()-7)),"")</f>
        <v/>
      </c>
      <c r="J13" s="35">
        <f>IFERROR(A12-A13,"")</f>
        <v/>
      </c>
      <c r="K13" s="35">
        <f>IFERROR(A13-A14,"")</f>
        <v/>
      </c>
      <c r="L13" s="19">
        <f>IFERROR($L$6/365*I13*J13,"")</f>
        <v/>
      </c>
    </row>
    <row r="14">
      <c r="A14" s="33">
        <f>IFERROR(INDEX('בנק'!$A:$A,AGGREGATE(15,6,ROW($A$6:$A$500)/(('בנק'!$I$6:$I$500&lt;0)*('בנק'!$I$6:$I$500&lt;&gt;"")),ROW()-7)),"")</f>
        <v/>
      </c>
      <c r="B14" s="34">
        <f>IFERROR(INDEX('בנק'!$B:$B,AGGREGATE(15,6,ROW($A$6:$A$500)/(('בנק'!$I$6:$I$500&lt;0)*('בנק'!$I$6:$I$500&lt;&gt;"")),ROW()-7)),"")</f>
        <v/>
      </c>
      <c r="C14" s="34">
        <f>IFERROR(INDEX('בנק'!$C:$C,AGGREGATE(15,6,ROW($A$6:$A$500)/(('בנק'!$I$6:$I$500&lt;0)*('בנק'!$I$6:$I$500&lt;&gt;"")),ROW()-7)),"")</f>
        <v/>
      </c>
      <c r="D14" s="34">
        <f>IFERROR(INDEX('בנק'!$D:$D,AGGREGATE(15,6,ROW($A$6:$A$500)/(('בנק'!$I$6:$I$500&lt;0)*('בנק'!$I$6:$I$500&lt;&gt;"")),ROW()-7)),"")</f>
        <v/>
      </c>
      <c r="E14" s="34">
        <f>IFERROR(INDEX('בנק'!$E:$E,AGGREGATE(15,6,ROW($A$6:$A$500)/(('בנק'!$I$6:$I$500&lt;0)*('בנק'!$I$6:$I$500&lt;&gt;"")),ROW()-7)),"")</f>
        <v/>
      </c>
      <c r="F14" s="34">
        <f>IFERROR(INDEX('בנק'!$F:$F,AGGREGATE(15,6,ROW($A$6:$A$500)/(('בנק'!$I$6:$I$500&lt;0)*('בנק'!$I$6:$I$500&lt;&gt;"")),ROW()-7)),"")</f>
        <v/>
      </c>
      <c r="G14" s="19">
        <f>IFERROR(INDEX('בנק'!$G:$G,AGGREGATE(15,6,ROW($A$6:$A$500)/(('בנק'!$I$6:$I$500&lt;0)*('בנק'!$I$6:$I$500&lt;&gt;"")),ROW()-7)),"")</f>
        <v/>
      </c>
      <c r="H14" s="19">
        <f>IFERROR(INDEX('בנק'!$H:$H,AGGREGATE(15,6,ROW($A$6:$A$500)/(('בנק'!$I$6:$I$500&lt;0)*('בנק'!$I$6:$I$500&lt;&gt;"")),ROW()-7)),"")</f>
        <v/>
      </c>
      <c r="I14" s="19">
        <f>IFERROR(INDEX('בנק'!$I:$I,AGGREGATE(15,6,ROW($A$6:$A$500)/(('בנק'!$I$6:$I$500&lt;0)*('בנק'!$I$6:$I$500&lt;&gt;"")),ROW()-7)),"")</f>
        <v/>
      </c>
      <c r="J14" s="35">
        <f>IFERROR(A13-A14,"")</f>
        <v/>
      </c>
      <c r="K14" s="35">
        <f>IFERROR(A14-A15,"")</f>
        <v/>
      </c>
      <c r="L14" s="19">
        <f>IFERROR($L$6/365*I14*J14,"")</f>
        <v/>
      </c>
    </row>
    <row r="15">
      <c r="A15" s="33">
        <f>IFERROR(INDEX('בנק'!$A:$A,AGGREGATE(15,6,ROW($A$6:$A$500)/(('בנק'!$I$6:$I$500&lt;0)*('בנק'!$I$6:$I$500&lt;&gt;"")),ROW()-7)),"")</f>
        <v/>
      </c>
      <c r="B15" s="34">
        <f>IFERROR(INDEX('בנק'!$B:$B,AGGREGATE(15,6,ROW($A$6:$A$500)/(('בנק'!$I$6:$I$500&lt;0)*('בנק'!$I$6:$I$500&lt;&gt;"")),ROW()-7)),"")</f>
        <v/>
      </c>
      <c r="C15" s="34">
        <f>IFERROR(INDEX('בנק'!$C:$C,AGGREGATE(15,6,ROW($A$6:$A$500)/(('בנק'!$I$6:$I$500&lt;0)*('בנק'!$I$6:$I$500&lt;&gt;"")),ROW()-7)),"")</f>
        <v/>
      </c>
      <c r="D15" s="34">
        <f>IFERROR(INDEX('בנק'!$D:$D,AGGREGATE(15,6,ROW($A$6:$A$500)/(('בנק'!$I$6:$I$500&lt;0)*('בנק'!$I$6:$I$500&lt;&gt;"")),ROW()-7)),"")</f>
        <v/>
      </c>
      <c r="E15" s="34">
        <f>IFERROR(INDEX('בנק'!$E:$E,AGGREGATE(15,6,ROW($A$6:$A$500)/(('בנק'!$I$6:$I$500&lt;0)*('בנק'!$I$6:$I$500&lt;&gt;"")),ROW()-7)),"")</f>
        <v/>
      </c>
      <c r="F15" s="34">
        <f>IFERROR(INDEX('בנק'!$F:$F,AGGREGATE(15,6,ROW($A$6:$A$500)/(('בנק'!$I$6:$I$500&lt;0)*('בנק'!$I$6:$I$500&lt;&gt;"")),ROW()-7)),"")</f>
        <v/>
      </c>
      <c r="G15" s="19">
        <f>IFERROR(INDEX('בנק'!$G:$G,AGGREGATE(15,6,ROW($A$6:$A$500)/(('בנק'!$I$6:$I$500&lt;0)*('בנק'!$I$6:$I$500&lt;&gt;"")),ROW()-7)),"")</f>
        <v/>
      </c>
      <c r="H15" s="19">
        <f>IFERROR(INDEX('בנק'!$H:$H,AGGREGATE(15,6,ROW($A$6:$A$500)/(('בנק'!$I$6:$I$500&lt;0)*('בנק'!$I$6:$I$500&lt;&gt;"")),ROW()-7)),"")</f>
        <v/>
      </c>
      <c r="I15" s="19">
        <f>IFERROR(INDEX('בנק'!$I:$I,AGGREGATE(15,6,ROW($A$6:$A$500)/(('בנק'!$I$6:$I$500&lt;0)*('בנק'!$I$6:$I$500&lt;&gt;"")),ROW()-7)),"")</f>
        <v/>
      </c>
      <c r="J15" s="35">
        <f>IFERROR(A14-A15,"")</f>
        <v/>
      </c>
      <c r="K15" s="35">
        <f>IFERROR(A15-A16,"")</f>
        <v/>
      </c>
      <c r="L15" s="19">
        <f>IFERROR($L$6/365*I15*J15,"")</f>
        <v/>
      </c>
    </row>
    <row r="16">
      <c r="A16" s="33">
        <f>IFERROR(INDEX('בנק'!$A:$A,AGGREGATE(15,6,ROW($A$6:$A$500)/(('בנק'!$I$6:$I$500&lt;0)*('בנק'!$I$6:$I$500&lt;&gt;"")),ROW()-7)),"")</f>
        <v/>
      </c>
      <c r="B16" s="34">
        <f>IFERROR(INDEX('בנק'!$B:$B,AGGREGATE(15,6,ROW($A$6:$A$500)/(('בנק'!$I$6:$I$500&lt;0)*('בנק'!$I$6:$I$500&lt;&gt;"")),ROW()-7)),"")</f>
        <v/>
      </c>
      <c r="C16" s="34">
        <f>IFERROR(INDEX('בנק'!$C:$C,AGGREGATE(15,6,ROW($A$6:$A$500)/(('בנק'!$I$6:$I$500&lt;0)*('בנק'!$I$6:$I$500&lt;&gt;"")),ROW()-7)),"")</f>
        <v/>
      </c>
      <c r="D16" s="34">
        <f>IFERROR(INDEX('בנק'!$D:$D,AGGREGATE(15,6,ROW($A$6:$A$500)/(('בנק'!$I$6:$I$500&lt;0)*('בנק'!$I$6:$I$500&lt;&gt;"")),ROW()-7)),"")</f>
        <v/>
      </c>
      <c r="E16" s="34">
        <f>IFERROR(INDEX('בנק'!$E:$E,AGGREGATE(15,6,ROW($A$6:$A$500)/(('בנק'!$I$6:$I$500&lt;0)*('בנק'!$I$6:$I$500&lt;&gt;"")),ROW()-7)),"")</f>
        <v/>
      </c>
      <c r="F16" s="34">
        <f>IFERROR(INDEX('בנק'!$F:$F,AGGREGATE(15,6,ROW($A$6:$A$500)/(('בנק'!$I$6:$I$500&lt;0)*('בנק'!$I$6:$I$500&lt;&gt;"")),ROW()-7)),"")</f>
        <v/>
      </c>
      <c r="G16" s="19">
        <f>IFERROR(INDEX('בנק'!$G:$G,AGGREGATE(15,6,ROW($A$6:$A$500)/(('בנק'!$I$6:$I$500&lt;0)*('בנק'!$I$6:$I$500&lt;&gt;"")),ROW()-7)),"")</f>
        <v/>
      </c>
      <c r="H16" s="19">
        <f>IFERROR(INDEX('בנק'!$H:$H,AGGREGATE(15,6,ROW($A$6:$A$500)/(('בנק'!$I$6:$I$500&lt;0)*('בנק'!$I$6:$I$500&lt;&gt;"")),ROW()-7)),"")</f>
        <v/>
      </c>
      <c r="I16" s="19">
        <f>IFERROR(INDEX('בנק'!$I:$I,AGGREGATE(15,6,ROW($A$6:$A$500)/(('בנק'!$I$6:$I$500&lt;0)*('בנק'!$I$6:$I$500&lt;&gt;"")),ROW()-7)),"")</f>
        <v/>
      </c>
      <c r="J16" s="35">
        <f>IFERROR(A15-A16,"")</f>
        <v/>
      </c>
      <c r="K16" s="35">
        <f>IFERROR(A16-A17,"")</f>
        <v/>
      </c>
      <c r="L16" s="19">
        <f>IFERROR($L$6/365*I16*J16,"")</f>
        <v/>
      </c>
    </row>
    <row r="17">
      <c r="A17" s="33">
        <f>IFERROR(INDEX('בנק'!$A:$A,AGGREGATE(15,6,ROW($A$6:$A$500)/(('בנק'!$I$6:$I$500&lt;0)*('בנק'!$I$6:$I$500&lt;&gt;"")),ROW()-7)),"")</f>
        <v/>
      </c>
      <c r="B17" s="34">
        <f>IFERROR(INDEX('בנק'!$B:$B,AGGREGATE(15,6,ROW($A$6:$A$500)/(('בנק'!$I$6:$I$500&lt;0)*('בנק'!$I$6:$I$500&lt;&gt;"")),ROW()-7)),"")</f>
        <v/>
      </c>
      <c r="C17" s="34">
        <f>IFERROR(INDEX('בנק'!$C:$C,AGGREGATE(15,6,ROW($A$6:$A$500)/(('בנק'!$I$6:$I$500&lt;0)*('בנק'!$I$6:$I$500&lt;&gt;"")),ROW()-7)),"")</f>
        <v/>
      </c>
      <c r="D17" s="34">
        <f>IFERROR(INDEX('בנק'!$D:$D,AGGREGATE(15,6,ROW($A$6:$A$500)/(('בנק'!$I$6:$I$500&lt;0)*('בנק'!$I$6:$I$500&lt;&gt;"")),ROW()-7)),"")</f>
        <v/>
      </c>
      <c r="E17" s="34">
        <f>IFERROR(INDEX('בנק'!$E:$E,AGGREGATE(15,6,ROW($A$6:$A$500)/(('בנק'!$I$6:$I$500&lt;0)*('בנק'!$I$6:$I$500&lt;&gt;"")),ROW()-7)),"")</f>
        <v/>
      </c>
      <c r="F17" s="34">
        <f>IFERROR(INDEX('בנק'!$F:$F,AGGREGATE(15,6,ROW($A$6:$A$500)/(('בנק'!$I$6:$I$500&lt;0)*('בנק'!$I$6:$I$500&lt;&gt;"")),ROW()-7)),"")</f>
        <v/>
      </c>
      <c r="G17" s="19">
        <f>IFERROR(INDEX('בנק'!$G:$G,AGGREGATE(15,6,ROW($A$6:$A$500)/(('בנק'!$I$6:$I$500&lt;0)*('בנק'!$I$6:$I$500&lt;&gt;"")),ROW()-7)),"")</f>
        <v/>
      </c>
      <c r="H17" s="19">
        <f>IFERROR(INDEX('בנק'!$H:$H,AGGREGATE(15,6,ROW($A$6:$A$500)/(('בנק'!$I$6:$I$500&lt;0)*('בנק'!$I$6:$I$500&lt;&gt;"")),ROW()-7)),"")</f>
        <v/>
      </c>
      <c r="I17" s="19">
        <f>IFERROR(INDEX('בנק'!$I:$I,AGGREGATE(15,6,ROW($A$6:$A$500)/(('בנק'!$I$6:$I$500&lt;0)*('בנק'!$I$6:$I$500&lt;&gt;"")),ROW()-7)),"")</f>
        <v/>
      </c>
      <c r="J17" s="35">
        <f>IFERROR(A16-A17,"")</f>
        <v/>
      </c>
      <c r="K17" s="35">
        <f>IFERROR(A17-A18,"")</f>
        <v/>
      </c>
      <c r="L17" s="19">
        <f>IFERROR($L$6/365*I17*J17,"")</f>
        <v/>
      </c>
    </row>
    <row r="18">
      <c r="A18" s="33">
        <f>IFERROR(INDEX('בנק'!$A:$A,AGGREGATE(15,6,ROW($A$6:$A$500)/(('בנק'!$I$6:$I$500&lt;0)*('בנק'!$I$6:$I$500&lt;&gt;"")),ROW()-7)),"")</f>
        <v/>
      </c>
      <c r="B18" s="34">
        <f>IFERROR(INDEX('בנק'!$B:$B,AGGREGATE(15,6,ROW($A$6:$A$500)/(('בנק'!$I$6:$I$500&lt;0)*('בנק'!$I$6:$I$500&lt;&gt;"")),ROW()-7)),"")</f>
        <v/>
      </c>
      <c r="C18" s="34">
        <f>IFERROR(INDEX('בנק'!$C:$C,AGGREGATE(15,6,ROW($A$6:$A$500)/(('בנק'!$I$6:$I$500&lt;0)*('בנק'!$I$6:$I$500&lt;&gt;"")),ROW()-7)),"")</f>
        <v/>
      </c>
      <c r="D18" s="34">
        <f>IFERROR(INDEX('בנק'!$D:$D,AGGREGATE(15,6,ROW($A$6:$A$500)/(('בנק'!$I$6:$I$500&lt;0)*('בנק'!$I$6:$I$500&lt;&gt;"")),ROW()-7)),"")</f>
        <v/>
      </c>
      <c r="E18" s="34">
        <f>IFERROR(INDEX('בנק'!$E:$E,AGGREGATE(15,6,ROW($A$6:$A$500)/(('בנק'!$I$6:$I$500&lt;0)*('בנק'!$I$6:$I$500&lt;&gt;"")),ROW()-7)),"")</f>
        <v/>
      </c>
      <c r="F18" s="34">
        <f>IFERROR(INDEX('בנק'!$F:$F,AGGREGATE(15,6,ROW($A$6:$A$500)/(('בנק'!$I$6:$I$500&lt;0)*('בנק'!$I$6:$I$500&lt;&gt;"")),ROW()-7)),"")</f>
        <v/>
      </c>
      <c r="G18" s="19">
        <f>IFERROR(INDEX('בנק'!$G:$G,AGGREGATE(15,6,ROW($A$6:$A$500)/(('בנק'!$I$6:$I$500&lt;0)*('בנק'!$I$6:$I$500&lt;&gt;"")),ROW()-7)),"")</f>
        <v/>
      </c>
      <c r="H18" s="19">
        <f>IFERROR(INDEX('בנק'!$H:$H,AGGREGATE(15,6,ROW($A$6:$A$500)/(('בנק'!$I$6:$I$500&lt;0)*('בנק'!$I$6:$I$500&lt;&gt;"")),ROW()-7)),"")</f>
        <v/>
      </c>
      <c r="I18" s="19">
        <f>IFERROR(INDEX('בנק'!$I:$I,AGGREGATE(15,6,ROW($A$6:$A$500)/(('בנק'!$I$6:$I$500&lt;0)*('בנק'!$I$6:$I$500&lt;&gt;"")),ROW()-7)),"")</f>
        <v/>
      </c>
      <c r="J18" s="35">
        <f>IFERROR(A17-A18,"")</f>
        <v/>
      </c>
      <c r="K18" s="35">
        <f>IFERROR(A18-A19,"")</f>
        <v/>
      </c>
      <c r="L18" s="19">
        <f>IFERROR($L$6/365*I18*J18,"")</f>
        <v/>
      </c>
    </row>
    <row r="19">
      <c r="A19" s="33">
        <f>IFERROR(INDEX('בנק'!$A:$A,AGGREGATE(15,6,ROW($A$6:$A$500)/(('בנק'!$I$6:$I$500&lt;0)*('בנק'!$I$6:$I$500&lt;&gt;"")),ROW()-7)),"")</f>
        <v/>
      </c>
      <c r="B19" s="34">
        <f>IFERROR(INDEX('בנק'!$B:$B,AGGREGATE(15,6,ROW($A$6:$A$500)/(('בנק'!$I$6:$I$500&lt;0)*('בנק'!$I$6:$I$500&lt;&gt;"")),ROW()-7)),"")</f>
        <v/>
      </c>
      <c r="C19" s="34">
        <f>IFERROR(INDEX('בנק'!$C:$C,AGGREGATE(15,6,ROW($A$6:$A$500)/(('בנק'!$I$6:$I$500&lt;0)*('בנק'!$I$6:$I$500&lt;&gt;"")),ROW()-7)),"")</f>
        <v/>
      </c>
      <c r="D19" s="34">
        <f>IFERROR(INDEX('בנק'!$D:$D,AGGREGATE(15,6,ROW($A$6:$A$500)/(('בנק'!$I$6:$I$500&lt;0)*('בנק'!$I$6:$I$500&lt;&gt;"")),ROW()-7)),"")</f>
        <v/>
      </c>
      <c r="E19" s="34">
        <f>IFERROR(INDEX('בנק'!$E:$E,AGGREGATE(15,6,ROW($A$6:$A$500)/(('בנק'!$I$6:$I$500&lt;0)*('בנק'!$I$6:$I$500&lt;&gt;"")),ROW()-7)),"")</f>
        <v/>
      </c>
      <c r="F19" s="34">
        <f>IFERROR(INDEX('בנק'!$F:$F,AGGREGATE(15,6,ROW($A$6:$A$500)/(('בנק'!$I$6:$I$500&lt;0)*('בנק'!$I$6:$I$500&lt;&gt;"")),ROW()-7)),"")</f>
        <v/>
      </c>
      <c r="G19" s="19">
        <f>IFERROR(INDEX('בנק'!$G:$G,AGGREGATE(15,6,ROW($A$6:$A$500)/(('בנק'!$I$6:$I$500&lt;0)*('בנק'!$I$6:$I$500&lt;&gt;"")),ROW()-7)),"")</f>
        <v/>
      </c>
      <c r="H19" s="19">
        <f>IFERROR(INDEX('בנק'!$H:$H,AGGREGATE(15,6,ROW($A$6:$A$500)/(('בנק'!$I$6:$I$500&lt;0)*('בנק'!$I$6:$I$500&lt;&gt;"")),ROW()-7)),"")</f>
        <v/>
      </c>
      <c r="I19" s="19">
        <f>IFERROR(INDEX('בנק'!$I:$I,AGGREGATE(15,6,ROW($A$6:$A$500)/(('בנק'!$I$6:$I$500&lt;0)*('בנק'!$I$6:$I$500&lt;&gt;"")),ROW()-7)),"")</f>
        <v/>
      </c>
      <c r="J19" s="35">
        <f>IFERROR(A18-A19,"")</f>
        <v/>
      </c>
      <c r="K19" s="35">
        <f>IFERROR(A19-A20,"")</f>
        <v/>
      </c>
      <c r="L19" s="19">
        <f>IFERROR($L$6/365*I19*J19,"")</f>
        <v/>
      </c>
    </row>
    <row r="20">
      <c r="A20" s="33">
        <f>IFERROR(INDEX('בנק'!$A:$A,AGGREGATE(15,6,ROW($A$6:$A$500)/(('בנק'!$I$6:$I$500&lt;0)*('בנק'!$I$6:$I$500&lt;&gt;"")),ROW()-7)),"")</f>
        <v/>
      </c>
      <c r="B20" s="34">
        <f>IFERROR(INDEX('בנק'!$B:$B,AGGREGATE(15,6,ROW($A$6:$A$500)/(('בנק'!$I$6:$I$500&lt;0)*('בנק'!$I$6:$I$500&lt;&gt;"")),ROW()-7)),"")</f>
        <v/>
      </c>
      <c r="C20" s="34">
        <f>IFERROR(INDEX('בנק'!$C:$C,AGGREGATE(15,6,ROW($A$6:$A$500)/(('בנק'!$I$6:$I$500&lt;0)*('בנק'!$I$6:$I$500&lt;&gt;"")),ROW()-7)),"")</f>
        <v/>
      </c>
      <c r="D20" s="34">
        <f>IFERROR(INDEX('בנק'!$D:$D,AGGREGATE(15,6,ROW($A$6:$A$500)/(('בנק'!$I$6:$I$500&lt;0)*('בנק'!$I$6:$I$500&lt;&gt;"")),ROW()-7)),"")</f>
        <v/>
      </c>
      <c r="E20" s="34">
        <f>IFERROR(INDEX('בנק'!$E:$E,AGGREGATE(15,6,ROW($A$6:$A$500)/(('בנק'!$I$6:$I$500&lt;0)*('בנק'!$I$6:$I$500&lt;&gt;"")),ROW()-7)),"")</f>
        <v/>
      </c>
      <c r="F20" s="34">
        <f>IFERROR(INDEX('בנק'!$F:$F,AGGREGATE(15,6,ROW($A$6:$A$500)/(('בנק'!$I$6:$I$500&lt;0)*('בנק'!$I$6:$I$500&lt;&gt;"")),ROW()-7)),"")</f>
        <v/>
      </c>
      <c r="G20" s="19">
        <f>IFERROR(INDEX('בנק'!$G:$G,AGGREGATE(15,6,ROW($A$6:$A$500)/(('בנק'!$I$6:$I$500&lt;0)*('בנק'!$I$6:$I$500&lt;&gt;"")),ROW()-7)),"")</f>
        <v/>
      </c>
      <c r="H20" s="19">
        <f>IFERROR(INDEX('בנק'!$H:$H,AGGREGATE(15,6,ROW($A$6:$A$500)/(('בנק'!$I$6:$I$500&lt;0)*('בנק'!$I$6:$I$500&lt;&gt;"")),ROW()-7)),"")</f>
        <v/>
      </c>
      <c r="I20" s="19">
        <f>IFERROR(INDEX('בנק'!$I:$I,AGGREGATE(15,6,ROW($A$6:$A$500)/(('בנק'!$I$6:$I$500&lt;0)*('בנק'!$I$6:$I$500&lt;&gt;"")),ROW()-7)),"")</f>
        <v/>
      </c>
      <c r="J20" s="35">
        <f>IFERROR(A19-A20,"")</f>
        <v/>
      </c>
      <c r="K20" s="35">
        <f>IFERROR(A20-A21,"")</f>
        <v/>
      </c>
      <c r="L20" s="19">
        <f>IFERROR($L$6/365*I20*J20,"")</f>
        <v/>
      </c>
    </row>
    <row r="21">
      <c r="A21" s="33">
        <f>IFERROR(INDEX('בנק'!$A:$A,AGGREGATE(15,6,ROW($A$6:$A$500)/(('בנק'!$I$6:$I$500&lt;0)*('בנק'!$I$6:$I$500&lt;&gt;"")),ROW()-7)),"")</f>
        <v/>
      </c>
      <c r="B21" s="34">
        <f>IFERROR(INDEX('בנק'!$B:$B,AGGREGATE(15,6,ROW($A$6:$A$500)/(('בנק'!$I$6:$I$500&lt;0)*('בנק'!$I$6:$I$500&lt;&gt;"")),ROW()-7)),"")</f>
        <v/>
      </c>
      <c r="C21" s="34">
        <f>IFERROR(INDEX('בנק'!$C:$C,AGGREGATE(15,6,ROW($A$6:$A$500)/(('בנק'!$I$6:$I$500&lt;0)*('בנק'!$I$6:$I$500&lt;&gt;"")),ROW()-7)),"")</f>
        <v/>
      </c>
      <c r="D21" s="34">
        <f>IFERROR(INDEX('בנק'!$D:$D,AGGREGATE(15,6,ROW($A$6:$A$500)/(('בנק'!$I$6:$I$500&lt;0)*('בנק'!$I$6:$I$500&lt;&gt;"")),ROW()-7)),"")</f>
        <v/>
      </c>
      <c r="E21" s="34">
        <f>IFERROR(INDEX('בנק'!$E:$E,AGGREGATE(15,6,ROW($A$6:$A$500)/(('בנק'!$I$6:$I$500&lt;0)*('בנק'!$I$6:$I$500&lt;&gt;"")),ROW()-7)),"")</f>
        <v/>
      </c>
      <c r="F21" s="34">
        <f>IFERROR(INDEX('בנק'!$F:$F,AGGREGATE(15,6,ROW($A$6:$A$500)/(('בנק'!$I$6:$I$500&lt;0)*('בנק'!$I$6:$I$500&lt;&gt;"")),ROW()-7)),"")</f>
        <v/>
      </c>
      <c r="G21" s="19">
        <f>IFERROR(INDEX('בנק'!$G:$G,AGGREGATE(15,6,ROW($A$6:$A$500)/(('בנק'!$I$6:$I$500&lt;0)*('בנק'!$I$6:$I$500&lt;&gt;"")),ROW()-7)),"")</f>
        <v/>
      </c>
      <c r="H21" s="19">
        <f>IFERROR(INDEX('בנק'!$H:$H,AGGREGATE(15,6,ROW($A$6:$A$500)/(('בנק'!$I$6:$I$500&lt;0)*('בנק'!$I$6:$I$500&lt;&gt;"")),ROW()-7)),"")</f>
        <v/>
      </c>
      <c r="I21" s="19">
        <f>IFERROR(INDEX('בנק'!$I:$I,AGGREGATE(15,6,ROW($A$6:$A$500)/(('בנק'!$I$6:$I$500&lt;0)*('בנק'!$I$6:$I$500&lt;&gt;"")),ROW()-7)),"")</f>
        <v/>
      </c>
      <c r="J21" s="35">
        <f>IFERROR(A20-A21,"")</f>
        <v/>
      </c>
      <c r="K21" s="35">
        <f>IFERROR(A21-A22,"")</f>
        <v/>
      </c>
      <c r="L21" s="19">
        <f>IFERROR($L$6/365*I21*J21,"")</f>
        <v/>
      </c>
    </row>
    <row r="22">
      <c r="A22" s="33">
        <f>IFERROR(INDEX('בנק'!$A:$A,AGGREGATE(15,6,ROW($A$6:$A$500)/(('בנק'!$I$6:$I$500&lt;0)*('בנק'!$I$6:$I$500&lt;&gt;"")),ROW()-7)),"")</f>
        <v/>
      </c>
      <c r="B22" s="34">
        <f>IFERROR(INDEX('בנק'!$B:$B,AGGREGATE(15,6,ROW($A$6:$A$500)/(('בנק'!$I$6:$I$500&lt;0)*('בנק'!$I$6:$I$500&lt;&gt;"")),ROW()-7)),"")</f>
        <v/>
      </c>
      <c r="C22" s="34">
        <f>IFERROR(INDEX('בנק'!$C:$C,AGGREGATE(15,6,ROW($A$6:$A$500)/(('בנק'!$I$6:$I$500&lt;0)*('בנק'!$I$6:$I$500&lt;&gt;"")),ROW()-7)),"")</f>
        <v/>
      </c>
      <c r="D22" s="34">
        <f>IFERROR(INDEX('בנק'!$D:$D,AGGREGATE(15,6,ROW($A$6:$A$500)/(('בנק'!$I$6:$I$500&lt;0)*('בנק'!$I$6:$I$500&lt;&gt;"")),ROW()-7)),"")</f>
        <v/>
      </c>
      <c r="E22" s="34">
        <f>IFERROR(INDEX('בנק'!$E:$E,AGGREGATE(15,6,ROW($A$6:$A$500)/(('בנק'!$I$6:$I$500&lt;0)*('בנק'!$I$6:$I$500&lt;&gt;"")),ROW()-7)),"")</f>
        <v/>
      </c>
      <c r="F22" s="34">
        <f>IFERROR(INDEX('בנק'!$F:$F,AGGREGATE(15,6,ROW($A$6:$A$500)/(('בנק'!$I$6:$I$500&lt;0)*('בנק'!$I$6:$I$500&lt;&gt;"")),ROW()-7)),"")</f>
        <v/>
      </c>
      <c r="G22" s="19">
        <f>IFERROR(INDEX('בנק'!$G:$G,AGGREGATE(15,6,ROW($A$6:$A$500)/(('בנק'!$I$6:$I$500&lt;0)*('בנק'!$I$6:$I$500&lt;&gt;"")),ROW()-7)),"")</f>
        <v/>
      </c>
      <c r="H22" s="19">
        <f>IFERROR(INDEX('בנק'!$H:$H,AGGREGATE(15,6,ROW($A$6:$A$500)/(('בנק'!$I$6:$I$500&lt;0)*('בנק'!$I$6:$I$500&lt;&gt;"")),ROW()-7)),"")</f>
        <v/>
      </c>
      <c r="I22" s="19">
        <f>IFERROR(INDEX('בנק'!$I:$I,AGGREGATE(15,6,ROW($A$6:$A$500)/(('בנק'!$I$6:$I$500&lt;0)*('בנק'!$I$6:$I$500&lt;&gt;"")),ROW()-7)),"")</f>
        <v/>
      </c>
      <c r="J22" s="35">
        <f>IFERROR(A21-A22,"")</f>
        <v/>
      </c>
      <c r="K22" s="35">
        <f>IFERROR(A22-A23,"")</f>
        <v/>
      </c>
      <c r="L22" s="19">
        <f>IFERROR($L$6/365*I22*J22,"")</f>
        <v/>
      </c>
    </row>
    <row r="23">
      <c r="A23" s="33">
        <f>IFERROR(INDEX('בנק'!$A:$A,AGGREGATE(15,6,ROW($A$6:$A$500)/(('בנק'!$I$6:$I$500&lt;0)*('בנק'!$I$6:$I$500&lt;&gt;"")),ROW()-7)),"")</f>
        <v/>
      </c>
      <c r="B23" s="34">
        <f>IFERROR(INDEX('בנק'!$B:$B,AGGREGATE(15,6,ROW($A$6:$A$500)/(('בנק'!$I$6:$I$500&lt;0)*('בנק'!$I$6:$I$500&lt;&gt;"")),ROW()-7)),"")</f>
        <v/>
      </c>
      <c r="C23" s="34">
        <f>IFERROR(INDEX('בנק'!$C:$C,AGGREGATE(15,6,ROW($A$6:$A$500)/(('בנק'!$I$6:$I$500&lt;0)*('בנק'!$I$6:$I$500&lt;&gt;"")),ROW()-7)),"")</f>
        <v/>
      </c>
      <c r="D23" s="34">
        <f>IFERROR(INDEX('בנק'!$D:$D,AGGREGATE(15,6,ROW($A$6:$A$500)/(('בנק'!$I$6:$I$500&lt;0)*('בנק'!$I$6:$I$500&lt;&gt;"")),ROW()-7)),"")</f>
        <v/>
      </c>
      <c r="E23" s="34">
        <f>IFERROR(INDEX('בנק'!$E:$E,AGGREGATE(15,6,ROW($A$6:$A$500)/(('בנק'!$I$6:$I$500&lt;0)*('בנק'!$I$6:$I$500&lt;&gt;"")),ROW()-7)),"")</f>
        <v/>
      </c>
      <c r="F23" s="34">
        <f>IFERROR(INDEX('בנק'!$F:$F,AGGREGATE(15,6,ROW($A$6:$A$500)/(('בנק'!$I$6:$I$500&lt;0)*('בנק'!$I$6:$I$500&lt;&gt;"")),ROW()-7)),"")</f>
        <v/>
      </c>
      <c r="G23" s="19">
        <f>IFERROR(INDEX('בנק'!$G:$G,AGGREGATE(15,6,ROW($A$6:$A$500)/(('בנק'!$I$6:$I$500&lt;0)*('בנק'!$I$6:$I$500&lt;&gt;"")),ROW()-7)),"")</f>
        <v/>
      </c>
      <c r="H23" s="19">
        <f>IFERROR(INDEX('בנק'!$H:$H,AGGREGATE(15,6,ROW($A$6:$A$500)/(('בנק'!$I$6:$I$500&lt;0)*('בנק'!$I$6:$I$500&lt;&gt;"")),ROW()-7)),"")</f>
        <v/>
      </c>
      <c r="I23" s="19">
        <f>IFERROR(INDEX('בנק'!$I:$I,AGGREGATE(15,6,ROW($A$6:$A$500)/(('בנק'!$I$6:$I$500&lt;0)*('בנק'!$I$6:$I$500&lt;&gt;"")),ROW()-7)),"")</f>
        <v/>
      </c>
      <c r="J23" s="35">
        <f>IFERROR(A22-A23,"")</f>
        <v/>
      </c>
      <c r="K23" s="35">
        <f>IFERROR(A23-A24,"")</f>
        <v/>
      </c>
      <c r="L23" s="19">
        <f>IFERROR($L$6/365*I23*J23,"")</f>
        <v/>
      </c>
    </row>
    <row r="24">
      <c r="A24" s="33">
        <f>IFERROR(INDEX('בנק'!$A:$A,AGGREGATE(15,6,ROW($A$6:$A$500)/(('בנק'!$I$6:$I$500&lt;0)*('בנק'!$I$6:$I$500&lt;&gt;"")),ROW()-7)),"")</f>
        <v/>
      </c>
      <c r="B24" s="34">
        <f>IFERROR(INDEX('בנק'!$B:$B,AGGREGATE(15,6,ROW($A$6:$A$500)/(('בנק'!$I$6:$I$500&lt;0)*('בנק'!$I$6:$I$500&lt;&gt;"")),ROW()-7)),"")</f>
        <v/>
      </c>
      <c r="C24" s="34">
        <f>IFERROR(INDEX('בנק'!$C:$C,AGGREGATE(15,6,ROW($A$6:$A$500)/(('בנק'!$I$6:$I$500&lt;0)*('בנק'!$I$6:$I$500&lt;&gt;"")),ROW()-7)),"")</f>
        <v/>
      </c>
      <c r="D24" s="34">
        <f>IFERROR(INDEX('בנק'!$D:$D,AGGREGATE(15,6,ROW($A$6:$A$500)/(('בנק'!$I$6:$I$500&lt;0)*('בנק'!$I$6:$I$500&lt;&gt;"")),ROW()-7)),"")</f>
        <v/>
      </c>
      <c r="E24" s="34">
        <f>IFERROR(INDEX('בנק'!$E:$E,AGGREGATE(15,6,ROW($A$6:$A$500)/(('בנק'!$I$6:$I$500&lt;0)*('בנק'!$I$6:$I$500&lt;&gt;"")),ROW()-7)),"")</f>
        <v/>
      </c>
      <c r="F24" s="34">
        <f>IFERROR(INDEX('בנק'!$F:$F,AGGREGATE(15,6,ROW($A$6:$A$500)/(('בנק'!$I$6:$I$500&lt;0)*('בנק'!$I$6:$I$500&lt;&gt;"")),ROW()-7)),"")</f>
        <v/>
      </c>
      <c r="G24" s="19">
        <f>IFERROR(INDEX('בנק'!$G:$G,AGGREGATE(15,6,ROW($A$6:$A$500)/(('בנק'!$I$6:$I$500&lt;0)*('בנק'!$I$6:$I$500&lt;&gt;"")),ROW()-7)),"")</f>
        <v/>
      </c>
      <c r="H24" s="19">
        <f>IFERROR(INDEX('בנק'!$H:$H,AGGREGATE(15,6,ROW($A$6:$A$500)/(('בנק'!$I$6:$I$500&lt;0)*('בנק'!$I$6:$I$500&lt;&gt;"")),ROW()-7)),"")</f>
        <v/>
      </c>
      <c r="I24" s="19">
        <f>IFERROR(INDEX('בנק'!$I:$I,AGGREGATE(15,6,ROW($A$6:$A$500)/(('בנק'!$I$6:$I$500&lt;0)*('בנק'!$I$6:$I$500&lt;&gt;"")),ROW()-7)),"")</f>
        <v/>
      </c>
      <c r="J24" s="35">
        <f>IFERROR(A23-A24,"")</f>
        <v/>
      </c>
      <c r="K24" s="35">
        <f>IFERROR(A24-A25,"")</f>
        <v/>
      </c>
      <c r="L24" s="19">
        <f>IFERROR($L$6/365*I24*J24,"")</f>
        <v/>
      </c>
    </row>
    <row r="25">
      <c r="A25" s="33">
        <f>IFERROR(INDEX('בנק'!$A:$A,AGGREGATE(15,6,ROW($A$6:$A$500)/(('בנק'!$I$6:$I$500&lt;0)*('בנק'!$I$6:$I$500&lt;&gt;"")),ROW()-7)),"")</f>
        <v/>
      </c>
      <c r="B25" s="34">
        <f>IFERROR(INDEX('בנק'!$B:$B,AGGREGATE(15,6,ROW($A$6:$A$500)/(('בנק'!$I$6:$I$500&lt;0)*('בנק'!$I$6:$I$500&lt;&gt;"")),ROW()-7)),"")</f>
        <v/>
      </c>
      <c r="C25" s="34">
        <f>IFERROR(INDEX('בנק'!$C:$C,AGGREGATE(15,6,ROW($A$6:$A$500)/(('בנק'!$I$6:$I$500&lt;0)*('בנק'!$I$6:$I$500&lt;&gt;"")),ROW()-7)),"")</f>
        <v/>
      </c>
      <c r="D25" s="34">
        <f>IFERROR(INDEX('בנק'!$D:$D,AGGREGATE(15,6,ROW($A$6:$A$500)/(('בנק'!$I$6:$I$500&lt;0)*('בנק'!$I$6:$I$500&lt;&gt;"")),ROW()-7)),"")</f>
        <v/>
      </c>
      <c r="E25" s="34">
        <f>IFERROR(INDEX('בנק'!$E:$E,AGGREGATE(15,6,ROW($A$6:$A$500)/(('בנק'!$I$6:$I$500&lt;0)*('בנק'!$I$6:$I$500&lt;&gt;"")),ROW()-7)),"")</f>
        <v/>
      </c>
      <c r="F25" s="34">
        <f>IFERROR(INDEX('בנק'!$F:$F,AGGREGATE(15,6,ROW($A$6:$A$500)/(('בנק'!$I$6:$I$500&lt;0)*('בנק'!$I$6:$I$500&lt;&gt;"")),ROW()-7)),"")</f>
        <v/>
      </c>
      <c r="G25" s="19">
        <f>IFERROR(INDEX('בנק'!$G:$G,AGGREGATE(15,6,ROW($A$6:$A$500)/(('בנק'!$I$6:$I$500&lt;0)*('בנק'!$I$6:$I$500&lt;&gt;"")),ROW()-7)),"")</f>
        <v/>
      </c>
      <c r="H25" s="19">
        <f>IFERROR(INDEX('בנק'!$H:$H,AGGREGATE(15,6,ROW($A$6:$A$500)/(('בנק'!$I$6:$I$500&lt;0)*('בנק'!$I$6:$I$500&lt;&gt;"")),ROW()-7)),"")</f>
        <v/>
      </c>
      <c r="I25" s="19">
        <f>IFERROR(INDEX('בנק'!$I:$I,AGGREGATE(15,6,ROW($A$6:$A$500)/(('בנק'!$I$6:$I$500&lt;0)*('בנק'!$I$6:$I$500&lt;&gt;"")),ROW()-7)),"")</f>
        <v/>
      </c>
      <c r="J25" s="35">
        <f>IFERROR(A24-A25,"")</f>
        <v/>
      </c>
      <c r="K25" s="35">
        <f>IFERROR(A25-A26,"")</f>
        <v/>
      </c>
      <c r="L25" s="19">
        <f>IFERROR($L$6/365*I25*J25,"")</f>
        <v/>
      </c>
    </row>
    <row r="26">
      <c r="A26" s="33">
        <f>IFERROR(INDEX('בנק'!$A:$A,AGGREGATE(15,6,ROW($A$6:$A$500)/(('בנק'!$I$6:$I$500&lt;0)*('בנק'!$I$6:$I$500&lt;&gt;"")),ROW()-7)),"")</f>
        <v/>
      </c>
      <c r="B26" s="34">
        <f>IFERROR(INDEX('בנק'!$B:$B,AGGREGATE(15,6,ROW($A$6:$A$500)/(('בנק'!$I$6:$I$500&lt;0)*('בנק'!$I$6:$I$500&lt;&gt;"")),ROW()-7)),"")</f>
        <v/>
      </c>
      <c r="C26" s="34">
        <f>IFERROR(INDEX('בנק'!$C:$C,AGGREGATE(15,6,ROW($A$6:$A$500)/(('בנק'!$I$6:$I$500&lt;0)*('בנק'!$I$6:$I$500&lt;&gt;"")),ROW()-7)),"")</f>
        <v/>
      </c>
      <c r="D26" s="34">
        <f>IFERROR(INDEX('בנק'!$D:$D,AGGREGATE(15,6,ROW($A$6:$A$500)/(('בנק'!$I$6:$I$500&lt;0)*('בנק'!$I$6:$I$500&lt;&gt;"")),ROW()-7)),"")</f>
        <v/>
      </c>
      <c r="E26" s="34">
        <f>IFERROR(INDEX('בנק'!$E:$E,AGGREGATE(15,6,ROW($A$6:$A$500)/(('בנק'!$I$6:$I$500&lt;0)*('בנק'!$I$6:$I$500&lt;&gt;"")),ROW()-7)),"")</f>
        <v/>
      </c>
      <c r="F26" s="34">
        <f>IFERROR(INDEX('בנק'!$F:$F,AGGREGATE(15,6,ROW($A$6:$A$500)/(('בנק'!$I$6:$I$500&lt;0)*('בנק'!$I$6:$I$500&lt;&gt;"")),ROW()-7)),"")</f>
        <v/>
      </c>
      <c r="G26" s="19">
        <f>IFERROR(INDEX('בנק'!$G:$G,AGGREGATE(15,6,ROW($A$6:$A$500)/(('בנק'!$I$6:$I$500&lt;0)*('בנק'!$I$6:$I$500&lt;&gt;"")),ROW()-7)),"")</f>
        <v/>
      </c>
      <c r="H26" s="19">
        <f>IFERROR(INDEX('בנק'!$H:$H,AGGREGATE(15,6,ROW($A$6:$A$500)/(('בנק'!$I$6:$I$500&lt;0)*('בנק'!$I$6:$I$500&lt;&gt;"")),ROW()-7)),"")</f>
        <v/>
      </c>
      <c r="I26" s="19">
        <f>IFERROR(INDEX('בנק'!$I:$I,AGGREGATE(15,6,ROW($A$6:$A$500)/(('בנק'!$I$6:$I$500&lt;0)*('בנק'!$I$6:$I$500&lt;&gt;"")),ROW()-7)),"")</f>
        <v/>
      </c>
      <c r="J26" s="35">
        <f>IFERROR(A25-A26,"")</f>
        <v/>
      </c>
      <c r="K26" s="35">
        <f>IFERROR(A26-A27,"")</f>
        <v/>
      </c>
      <c r="L26" s="19">
        <f>IFERROR($L$6/365*I26*J26,"")</f>
        <v/>
      </c>
    </row>
    <row r="27">
      <c r="A27" s="33">
        <f>IFERROR(INDEX('בנק'!$A:$A,AGGREGATE(15,6,ROW($A$6:$A$500)/(('בנק'!$I$6:$I$500&lt;0)*('בנק'!$I$6:$I$500&lt;&gt;"")),ROW()-7)),"")</f>
        <v/>
      </c>
      <c r="B27" s="34">
        <f>IFERROR(INDEX('בנק'!$B:$B,AGGREGATE(15,6,ROW($A$6:$A$500)/(('בנק'!$I$6:$I$500&lt;0)*('בנק'!$I$6:$I$500&lt;&gt;"")),ROW()-7)),"")</f>
        <v/>
      </c>
      <c r="C27" s="34">
        <f>IFERROR(INDEX('בנק'!$C:$C,AGGREGATE(15,6,ROW($A$6:$A$500)/(('בנק'!$I$6:$I$500&lt;0)*('בנק'!$I$6:$I$500&lt;&gt;"")),ROW()-7)),"")</f>
        <v/>
      </c>
      <c r="D27" s="34">
        <f>IFERROR(INDEX('בנק'!$D:$D,AGGREGATE(15,6,ROW($A$6:$A$500)/(('בנק'!$I$6:$I$500&lt;0)*('בנק'!$I$6:$I$500&lt;&gt;"")),ROW()-7)),"")</f>
        <v/>
      </c>
      <c r="E27" s="34">
        <f>IFERROR(INDEX('בנק'!$E:$E,AGGREGATE(15,6,ROW($A$6:$A$500)/(('בנק'!$I$6:$I$500&lt;0)*('בנק'!$I$6:$I$500&lt;&gt;"")),ROW()-7)),"")</f>
        <v/>
      </c>
      <c r="F27" s="34">
        <f>IFERROR(INDEX('בנק'!$F:$F,AGGREGATE(15,6,ROW($A$6:$A$500)/(('בנק'!$I$6:$I$500&lt;0)*('בנק'!$I$6:$I$500&lt;&gt;"")),ROW()-7)),"")</f>
        <v/>
      </c>
      <c r="G27" s="19">
        <f>IFERROR(INDEX('בנק'!$G:$G,AGGREGATE(15,6,ROW($A$6:$A$500)/(('בנק'!$I$6:$I$500&lt;0)*('בנק'!$I$6:$I$500&lt;&gt;"")),ROW()-7)),"")</f>
        <v/>
      </c>
      <c r="H27" s="19">
        <f>IFERROR(INDEX('בנק'!$H:$H,AGGREGATE(15,6,ROW($A$6:$A$500)/(('בנק'!$I$6:$I$500&lt;0)*('בנק'!$I$6:$I$500&lt;&gt;"")),ROW()-7)),"")</f>
        <v/>
      </c>
      <c r="I27" s="19">
        <f>IFERROR(INDEX('בנק'!$I:$I,AGGREGATE(15,6,ROW($A$6:$A$500)/(('בנק'!$I$6:$I$500&lt;0)*('בנק'!$I$6:$I$500&lt;&gt;"")),ROW()-7)),"")</f>
        <v/>
      </c>
      <c r="J27" s="35">
        <f>IFERROR(A26-A27,"")</f>
        <v/>
      </c>
      <c r="K27" s="35">
        <f>IFERROR(A27-A28,"")</f>
        <v/>
      </c>
      <c r="L27" s="19">
        <f>IFERROR($L$6/365*I27*J27,"")</f>
        <v/>
      </c>
    </row>
    <row r="28">
      <c r="A28" s="33">
        <f>IFERROR(INDEX('בנק'!$A:$A,AGGREGATE(15,6,ROW($A$6:$A$500)/(('בנק'!$I$6:$I$500&lt;0)*('בנק'!$I$6:$I$500&lt;&gt;"")),ROW()-7)),"")</f>
        <v/>
      </c>
      <c r="B28" s="34">
        <f>IFERROR(INDEX('בנק'!$B:$B,AGGREGATE(15,6,ROW($A$6:$A$500)/(('בנק'!$I$6:$I$500&lt;0)*('בנק'!$I$6:$I$500&lt;&gt;"")),ROW()-7)),"")</f>
        <v/>
      </c>
      <c r="C28" s="34">
        <f>IFERROR(INDEX('בנק'!$C:$C,AGGREGATE(15,6,ROW($A$6:$A$500)/(('בנק'!$I$6:$I$500&lt;0)*('בנק'!$I$6:$I$500&lt;&gt;"")),ROW()-7)),"")</f>
        <v/>
      </c>
      <c r="D28" s="34">
        <f>IFERROR(INDEX('בנק'!$D:$D,AGGREGATE(15,6,ROW($A$6:$A$500)/(('בנק'!$I$6:$I$500&lt;0)*('בנק'!$I$6:$I$500&lt;&gt;"")),ROW()-7)),"")</f>
        <v/>
      </c>
      <c r="E28" s="34">
        <f>IFERROR(INDEX('בנק'!$E:$E,AGGREGATE(15,6,ROW($A$6:$A$500)/(('בנק'!$I$6:$I$500&lt;0)*('בנק'!$I$6:$I$500&lt;&gt;"")),ROW()-7)),"")</f>
        <v/>
      </c>
      <c r="F28" s="34">
        <f>IFERROR(INDEX('בנק'!$F:$F,AGGREGATE(15,6,ROW($A$6:$A$500)/(('בנק'!$I$6:$I$500&lt;0)*('בנק'!$I$6:$I$500&lt;&gt;"")),ROW()-7)),"")</f>
        <v/>
      </c>
      <c r="G28" s="19">
        <f>IFERROR(INDEX('בנק'!$G:$G,AGGREGATE(15,6,ROW($A$6:$A$500)/(('בנק'!$I$6:$I$500&lt;0)*('בנק'!$I$6:$I$500&lt;&gt;"")),ROW()-7)),"")</f>
        <v/>
      </c>
      <c r="H28" s="19">
        <f>IFERROR(INDEX('בנק'!$H:$H,AGGREGATE(15,6,ROW($A$6:$A$500)/(('בנק'!$I$6:$I$500&lt;0)*('בנק'!$I$6:$I$500&lt;&gt;"")),ROW()-7)),"")</f>
        <v/>
      </c>
      <c r="I28" s="19">
        <f>IFERROR(INDEX('בנק'!$I:$I,AGGREGATE(15,6,ROW($A$6:$A$500)/(('בנק'!$I$6:$I$500&lt;0)*('בנק'!$I$6:$I$500&lt;&gt;"")),ROW()-7)),"")</f>
        <v/>
      </c>
      <c r="J28" s="35">
        <f>IFERROR(A27-A28,"")</f>
        <v/>
      </c>
      <c r="K28" s="35">
        <f>IFERROR(A28-A29,"")</f>
        <v/>
      </c>
      <c r="L28" s="19">
        <f>IFERROR($L$6/365*I28*J28,"")</f>
        <v/>
      </c>
    </row>
    <row r="29">
      <c r="A29" s="33">
        <f>IFERROR(INDEX('בנק'!$A:$A,AGGREGATE(15,6,ROW($A$6:$A$500)/(('בנק'!$I$6:$I$500&lt;0)*('בנק'!$I$6:$I$500&lt;&gt;"")),ROW()-7)),"")</f>
        <v/>
      </c>
      <c r="B29" s="34">
        <f>IFERROR(INDEX('בנק'!$B:$B,AGGREGATE(15,6,ROW($A$6:$A$500)/(('בנק'!$I$6:$I$500&lt;0)*('בנק'!$I$6:$I$500&lt;&gt;"")),ROW()-7)),"")</f>
        <v/>
      </c>
      <c r="C29" s="34">
        <f>IFERROR(INDEX('בנק'!$C:$C,AGGREGATE(15,6,ROW($A$6:$A$500)/(('בנק'!$I$6:$I$500&lt;0)*('בנק'!$I$6:$I$500&lt;&gt;"")),ROW()-7)),"")</f>
        <v/>
      </c>
      <c r="D29" s="34">
        <f>IFERROR(INDEX('בנק'!$D:$D,AGGREGATE(15,6,ROW($A$6:$A$500)/(('בנק'!$I$6:$I$500&lt;0)*('בנק'!$I$6:$I$500&lt;&gt;"")),ROW()-7)),"")</f>
        <v/>
      </c>
      <c r="E29" s="34">
        <f>IFERROR(INDEX('בנק'!$E:$E,AGGREGATE(15,6,ROW($A$6:$A$500)/(('בנק'!$I$6:$I$500&lt;0)*('בנק'!$I$6:$I$500&lt;&gt;"")),ROW()-7)),"")</f>
        <v/>
      </c>
      <c r="F29" s="34">
        <f>IFERROR(INDEX('בנק'!$F:$F,AGGREGATE(15,6,ROW($A$6:$A$500)/(('בנק'!$I$6:$I$500&lt;0)*('בנק'!$I$6:$I$500&lt;&gt;"")),ROW()-7)),"")</f>
        <v/>
      </c>
      <c r="G29" s="19">
        <f>IFERROR(INDEX('בנק'!$G:$G,AGGREGATE(15,6,ROW($A$6:$A$500)/(('בנק'!$I$6:$I$500&lt;0)*('בנק'!$I$6:$I$500&lt;&gt;"")),ROW()-7)),"")</f>
        <v/>
      </c>
      <c r="H29" s="19">
        <f>IFERROR(INDEX('בנק'!$H:$H,AGGREGATE(15,6,ROW($A$6:$A$500)/(('בנק'!$I$6:$I$500&lt;0)*('בנק'!$I$6:$I$500&lt;&gt;"")),ROW()-7)),"")</f>
        <v/>
      </c>
      <c r="I29" s="19">
        <f>IFERROR(INDEX('בנק'!$I:$I,AGGREGATE(15,6,ROW($A$6:$A$500)/(('בנק'!$I$6:$I$500&lt;0)*('בנק'!$I$6:$I$500&lt;&gt;"")),ROW()-7)),"")</f>
        <v/>
      </c>
      <c r="J29" s="35">
        <f>IFERROR(A28-A29,"")</f>
        <v/>
      </c>
      <c r="K29" s="35">
        <f>IFERROR(A29-A30,"")</f>
        <v/>
      </c>
      <c r="L29" s="19">
        <f>IFERROR($L$6/365*I29*J29,"")</f>
        <v/>
      </c>
    </row>
    <row r="30">
      <c r="A30" s="33">
        <f>IFERROR(INDEX('בנק'!$A:$A,AGGREGATE(15,6,ROW($A$6:$A$500)/(('בנק'!$I$6:$I$500&lt;0)*('בנק'!$I$6:$I$500&lt;&gt;"")),ROW()-7)),"")</f>
        <v/>
      </c>
      <c r="B30" s="34">
        <f>IFERROR(INDEX('בנק'!$B:$B,AGGREGATE(15,6,ROW($A$6:$A$500)/(('בנק'!$I$6:$I$500&lt;0)*('בנק'!$I$6:$I$500&lt;&gt;"")),ROW()-7)),"")</f>
        <v/>
      </c>
      <c r="C30" s="34">
        <f>IFERROR(INDEX('בנק'!$C:$C,AGGREGATE(15,6,ROW($A$6:$A$500)/(('בנק'!$I$6:$I$500&lt;0)*('בנק'!$I$6:$I$500&lt;&gt;"")),ROW()-7)),"")</f>
        <v/>
      </c>
      <c r="D30" s="34">
        <f>IFERROR(INDEX('בנק'!$D:$D,AGGREGATE(15,6,ROW($A$6:$A$500)/(('בנק'!$I$6:$I$500&lt;0)*('בנק'!$I$6:$I$500&lt;&gt;"")),ROW()-7)),"")</f>
        <v/>
      </c>
      <c r="E30" s="34">
        <f>IFERROR(INDEX('בנק'!$E:$E,AGGREGATE(15,6,ROW($A$6:$A$500)/(('בנק'!$I$6:$I$500&lt;0)*('בנק'!$I$6:$I$500&lt;&gt;"")),ROW()-7)),"")</f>
        <v/>
      </c>
      <c r="F30" s="34">
        <f>IFERROR(INDEX('בנק'!$F:$F,AGGREGATE(15,6,ROW($A$6:$A$500)/(('בנק'!$I$6:$I$500&lt;0)*('בנק'!$I$6:$I$500&lt;&gt;"")),ROW()-7)),"")</f>
        <v/>
      </c>
      <c r="G30" s="19">
        <f>IFERROR(INDEX('בנק'!$G:$G,AGGREGATE(15,6,ROW($A$6:$A$500)/(('בנק'!$I$6:$I$500&lt;0)*('בנק'!$I$6:$I$500&lt;&gt;"")),ROW()-7)),"")</f>
        <v/>
      </c>
      <c r="H30" s="19">
        <f>IFERROR(INDEX('בנק'!$H:$H,AGGREGATE(15,6,ROW($A$6:$A$500)/(('בנק'!$I$6:$I$500&lt;0)*('בנק'!$I$6:$I$500&lt;&gt;"")),ROW()-7)),"")</f>
        <v/>
      </c>
      <c r="I30" s="19">
        <f>IFERROR(INDEX('בנק'!$I:$I,AGGREGATE(15,6,ROW($A$6:$A$500)/(('בנק'!$I$6:$I$500&lt;0)*('בנק'!$I$6:$I$500&lt;&gt;"")),ROW()-7)),"")</f>
        <v/>
      </c>
      <c r="J30" s="35">
        <f>IFERROR(A29-A30,"")</f>
        <v/>
      </c>
      <c r="K30" s="35">
        <f>IFERROR(A30-A31,"")</f>
        <v/>
      </c>
      <c r="L30" s="19">
        <f>IFERROR($L$6/365*I30*J30,"")</f>
        <v/>
      </c>
    </row>
    <row r="31">
      <c r="A31" s="33">
        <f>IFERROR(INDEX('בנק'!$A:$A,AGGREGATE(15,6,ROW($A$6:$A$500)/(('בנק'!$I$6:$I$500&lt;0)*('בנק'!$I$6:$I$500&lt;&gt;"")),ROW()-7)),"")</f>
        <v/>
      </c>
      <c r="B31" s="34">
        <f>IFERROR(INDEX('בנק'!$B:$B,AGGREGATE(15,6,ROW($A$6:$A$500)/(('בנק'!$I$6:$I$500&lt;0)*('בנק'!$I$6:$I$500&lt;&gt;"")),ROW()-7)),"")</f>
        <v/>
      </c>
      <c r="C31" s="34">
        <f>IFERROR(INDEX('בנק'!$C:$C,AGGREGATE(15,6,ROW($A$6:$A$500)/(('בנק'!$I$6:$I$500&lt;0)*('בנק'!$I$6:$I$500&lt;&gt;"")),ROW()-7)),"")</f>
        <v/>
      </c>
      <c r="D31" s="34">
        <f>IFERROR(INDEX('בנק'!$D:$D,AGGREGATE(15,6,ROW($A$6:$A$500)/(('בנק'!$I$6:$I$500&lt;0)*('בנק'!$I$6:$I$500&lt;&gt;"")),ROW()-7)),"")</f>
        <v/>
      </c>
      <c r="E31" s="34">
        <f>IFERROR(INDEX('בנק'!$E:$E,AGGREGATE(15,6,ROW($A$6:$A$500)/(('בנק'!$I$6:$I$500&lt;0)*('בנק'!$I$6:$I$500&lt;&gt;"")),ROW()-7)),"")</f>
        <v/>
      </c>
      <c r="F31" s="34">
        <f>IFERROR(INDEX('בנק'!$F:$F,AGGREGATE(15,6,ROW($A$6:$A$500)/(('בנק'!$I$6:$I$500&lt;0)*('בנק'!$I$6:$I$500&lt;&gt;"")),ROW()-7)),"")</f>
        <v/>
      </c>
      <c r="G31" s="19">
        <f>IFERROR(INDEX('בנק'!$G:$G,AGGREGATE(15,6,ROW($A$6:$A$500)/(('בנק'!$I$6:$I$500&lt;0)*('בנק'!$I$6:$I$500&lt;&gt;"")),ROW()-7)),"")</f>
        <v/>
      </c>
      <c r="H31" s="19">
        <f>IFERROR(INDEX('בנק'!$H:$H,AGGREGATE(15,6,ROW($A$6:$A$500)/(('בנק'!$I$6:$I$500&lt;0)*('בנק'!$I$6:$I$500&lt;&gt;"")),ROW()-7)),"")</f>
        <v/>
      </c>
      <c r="I31" s="19">
        <f>IFERROR(INDEX('בנק'!$I:$I,AGGREGATE(15,6,ROW($A$6:$A$500)/(('בנק'!$I$6:$I$500&lt;0)*('בנק'!$I$6:$I$500&lt;&gt;"")),ROW()-7)),"")</f>
        <v/>
      </c>
      <c r="J31" s="35">
        <f>IFERROR(A30-A31,"")</f>
        <v/>
      </c>
      <c r="K31" s="35">
        <f>IFERROR(A31-A32,"")</f>
        <v/>
      </c>
      <c r="L31" s="19">
        <f>IFERROR($L$6/365*I31*J31,"")</f>
        <v/>
      </c>
    </row>
    <row r="32">
      <c r="A32" s="33">
        <f>IFERROR(INDEX('בנק'!$A:$A,AGGREGATE(15,6,ROW($A$6:$A$500)/(('בנק'!$I$6:$I$500&lt;0)*('בנק'!$I$6:$I$500&lt;&gt;"")),ROW()-7)),"")</f>
        <v/>
      </c>
      <c r="B32" s="34">
        <f>IFERROR(INDEX('בנק'!$B:$B,AGGREGATE(15,6,ROW($A$6:$A$500)/(('בנק'!$I$6:$I$500&lt;0)*('בנק'!$I$6:$I$500&lt;&gt;"")),ROW()-7)),"")</f>
        <v/>
      </c>
      <c r="C32" s="34">
        <f>IFERROR(INDEX('בנק'!$C:$C,AGGREGATE(15,6,ROW($A$6:$A$500)/(('בנק'!$I$6:$I$500&lt;0)*('בנק'!$I$6:$I$500&lt;&gt;"")),ROW()-7)),"")</f>
        <v/>
      </c>
      <c r="D32" s="34">
        <f>IFERROR(INDEX('בנק'!$D:$D,AGGREGATE(15,6,ROW($A$6:$A$500)/(('בנק'!$I$6:$I$500&lt;0)*('בנק'!$I$6:$I$500&lt;&gt;"")),ROW()-7)),"")</f>
        <v/>
      </c>
      <c r="E32" s="34">
        <f>IFERROR(INDEX('בנק'!$E:$E,AGGREGATE(15,6,ROW($A$6:$A$500)/(('בנק'!$I$6:$I$500&lt;0)*('בנק'!$I$6:$I$500&lt;&gt;"")),ROW()-7)),"")</f>
        <v/>
      </c>
      <c r="F32" s="34">
        <f>IFERROR(INDEX('בנק'!$F:$F,AGGREGATE(15,6,ROW($A$6:$A$500)/(('בנק'!$I$6:$I$500&lt;0)*('בנק'!$I$6:$I$500&lt;&gt;"")),ROW()-7)),"")</f>
        <v/>
      </c>
      <c r="G32" s="19">
        <f>IFERROR(INDEX('בנק'!$G:$G,AGGREGATE(15,6,ROW($A$6:$A$500)/(('בנק'!$I$6:$I$500&lt;0)*('בנק'!$I$6:$I$500&lt;&gt;"")),ROW()-7)),"")</f>
        <v/>
      </c>
      <c r="H32" s="19">
        <f>IFERROR(INDEX('בנק'!$H:$H,AGGREGATE(15,6,ROW($A$6:$A$500)/(('בנק'!$I$6:$I$500&lt;0)*('בנק'!$I$6:$I$500&lt;&gt;"")),ROW()-7)),"")</f>
        <v/>
      </c>
      <c r="I32" s="19">
        <f>IFERROR(INDEX('בנק'!$I:$I,AGGREGATE(15,6,ROW($A$6:$A$500)/(('בנק'!$I$6:$I$500&lt;0)*('בנק'!$I$6:$I$500&lt;&gt;"")),ROW()-7)),"")</f>
        <v/>
      </c>
      <c r="J32" s="35">
        <f>IFERROR(A31-A32,"")</f>
        <v/>
      </c>
      <c r="K32" s="35">
        <f>IFERROR(A32-A33,"")</f>
        <v/>
      </c>
      <c r="L32" s="19">
        <f>IFERROR($L$6/365*I32*J32,"")</f>
        <v/>
      </c>
    </row>
    <row r="33">
      <c r="A33" s="33">
        <f>IFERROR(INDEX('בנק'!$A:$A,AGGREGATE(15,6,ROW($A$6:$A$500)/(('בנק'!$I$6:$I$500&lt;0)*('בנק'!$I$6:$I$500&lt;&gt;"")),ROW()-7)),"")</f>
        <v/>
      </c>
      <c r="B33" s="34">
        <f>IFERROR(INDEX('בנק'!$B:$B,AGGREGATE(15,6,ROW($A$6:$A$500)/(('בנק'!$I$6:$I$500&lt;0)*('בנק'!$I$6:$I$500&lt;&gt;"")),ROW()-7)),"")</f>
        <v/>
      </c>
      <c r="C33" s="34">
        <f>IFERROR(INDEX('בנק'!$C:$C,AGGREGATE(15,6,ROW($A$6:$A$500)/(('בנק'!$I$6:$I$500&lt;0)*('בנק'!$I$6:$I$500&lt;&gt;"")),ROW()-7)),"")</f>
        <v/>
      </c>
      <c r="D33" s="34">
        <f>IFERROR(INDEX('בנק'!$D:$D,AGGREGATE(15,6,ROW($A$6:$A$500)/(('בנק'!$I$6:$I$500&lt;0)*('בנק'!$I$6:$I$500&lt;&gt;"")),ROW()-7)),"")</f>
        <v/>
      </c>
      <c r="E33" s="34">
        <f>IFERROR(INDEX('בנק'!$E:$E,AGGREGATE(15,6,ROW($A$6:$A$500)/(('בנק'!$I$6:$I$500&lt;0)*('בנק'!$I$6:$I$500&lt;&gt;"")),ROW()-7)),"")</f>
        <v/>
      </c>
      <c r="F33" s="34">
        <f>IFERROR(INDEX('בנק'!$F:$F,AGGREGATE(15,6,ROW($A$6:$A$500)/(('בנק'!$I$6:$I$500&lt;0)*('בנק'!$I$6:$I$500&lt;&gt;"")),ROW()-7)),"")</f>
        <v/>
      </c>
      <c r="G33" s="19">
        <f>IFERROR(INDEX('בנק'!$G:$G,AGGREGATE(15,6,ROW($A$6:$A$500)/(('בנק'!$I$6:$I$500&lt;0)*('בנק'!$I$6:$I$500&lt;&gt;"")),ROW()-7)),"")</f>
        <v/>
      </c>
      <c r="H33" s="19">
        <f>IFERROR(INDEX('בנק'!$H:$H,AGGREGATE(15,6,ROW($A$6:$A$500)/(('בנק'!$I$6:$I$500&lt;0)*('בנק'!$I$6:$I$500&lt;&gt;"")),ROW()-7)),"")</f>
        <v/>
      </c>
      <c r="I33" s="19">
        <f>IFERROR(INDEX('בנק'!$I:$I,AGGREGATE(15,6,ROW($A$6:$A$500)/(('בנק'!$I$6:$I$500&lt;0)*('בנק'!$I$6:$I$500&lt;&gt;"")),ROW()-7)),"")</f>
        <v/>
      </c>
      <c r="J33" s="35">
        <f>IFERROR(A32-A33,"")</f>
        <v/>
      </c>
      <c r="K33" s="35">
        <f>IFERROR(A33-A34,"")</f>
        <v/>
      </c>
      <c r="L33" s="19">
        <f>IFERROR($L$6/365*I33*J33,"")</f>
        <v/>
      </c>
    </row>
    <row r="34">
      <c r="A34" s="33">
        <f>IFERROR(INDEX('בנק'!$A:$A,AGGREGATE(15,6,ROW($A$6:$A$500)/(('בנק'!$I$6:$I$500&lt;0)*('בנק'!$I$6:$I$500&lt;&gt;"")),ROW()-7)),"")</f>
        <v/>
      </c>
      <c r="B34" s="34">
        <f>IFERROR(INDEX('בנק'!$B:$B,AGGREGATE(15,6,ROW($A$6:$A$500)/(('בנק'!$I$6:$I$500&lt;0)*('בנק'!$I$6:$I$500&lt;&gt;"")),ROW()-7)),"")</f>
        <v/>
      </c>
      <c r="C34" s="34">
        <f>IFERROR(INDEX('בנק'!$C:$C,AGGREGATE(15,6,ROW($A$6:$A$500)/(('בנק'!$I$6:$I$500&lt;0)*('בנק'!$I$6:$I$500&lt;&gt;"")),ROW()-7)),"")</f>
        <v/>
      </c>
      <c r="D34" s="34">
        <f>IFERROR(INDEX('בנק'!$D:$D,AGGREGATE(15,6,ROW($A$6:$A$500)/(('בנק'!$I$6:$I$500&lt;0)*('בנק'!$I$6:$I$500&lt;&gt;"")),ROW()-7)),"")</f>
        <v/>
      </c>
      <c r="E34" s="34">
        <f>IFERROR(INDEX('בנק'!$E:$E,AGGREGATE(15,6,ROW($A$6:$A$500)/(('בנק'!$I$6:$I$500&lt;0)*('בנק'!$I$6:$I$500&lt;&gt;"")),ROW()-7)),"")</f>
        <v/>
      </c>
      <c r="F34" s="34">
        <f>IFERROR(INDEX('בנק'!$F:$F,AGGREGATE(15,6,ROW($A$6:$A$500)/(('בנק'!$I$6:$I$500&lt;0)*('בנק'!$I$6:$I$500&lt;&gt;"")),ROW()-7)),"")</f>
        <v/>
      </c>
      <c r="G34" s="19">
        <f>IFERROR(INDEX('בנק'!$G:$G,AGGREGATE(15,6,ROW($A$6:$A$500)/(('בנק'!$I$6:$I$500&lt;0)*('בנק'!$I$6:$I$500&lt;&gt;"")),ROW()-7)),"")</f>
        <v/>
      </c>
      <c r="H34" s="19">
        <f>IFERROR(INDEX('בנק'!$H:$H,AGGREGATE(15,6,ROW($A$6:$A$500)/(('בנק'!$I$6:$I$500&lt;0)*('בנק'!$I$6:$I$500&lt;&gt;"")),ROW()-7)),"")</f>
        <v/>
      </c>
      <c r="I34" s="19">
        <f>IFERROR(INDEX('בנק'!$I:$I,AGGREGATE(15,6,ROW($A$6:$A$500)/(('בנק'!$I$6:$I$500&lt;0)*('בנק'!$I$6:$I$500&lt;&gt;"")),ROW()-7)),"")</f>
        <v/>
      </c>
      <c r="J34" s="35">
        <f>IFERROR(A33-A34,"")</f>
        <v/>
      </c>
      <c r="K34" s="35">
        <f>IFERROR(A34-A35,"")</f>
        <v/>
      </c>
      <c r="L34" s="19">
        <f>IFERROR($L$6/365*I34*J34,"")</f>
        <v/>
      </c>
    </row>
    <row r="35">
      <c r="A35" s="33">
        <f>IFERROR(INDEX('בנק'!$A:$A,AGGREGATE(15,6,ROW($A$6:$A$500)/(('בנק'!$I$6:$I$500&lt;0)*('בנק'!$I$6:$I$500&lt;&gt;"")),ROW()-7)),"")</f>
        <v/>
      </c>
      <c r="B35" s="34">
        <f>IFERROR(INDEX('בנק'!$B:$B,AGGREGATE(15,6,ROW($A$6:$A$500)/(('בנק'!$I$6:$I$500&lt;0)*('בנק'!$I$6:$I$500&lt;&gt;"")),ROW()-7)),"")</f>
        <v/>
      </c>
      <c r="C35" s="34">
        <f>IFERROR(INDEX('בנק'!$C:$C,AGGREGATE(15,6,ROW($A$6:$A$500)/(('בנק'!$I$6:$I$500&lt;0)*('בנק'!$I$6:$I$500&lt;&gt;"")),ROW()-7)),"")</f>
        <v/>
      </c>
      <c r="D35" s="34">
        <f>IFERROR(INDEX('בנק'!$D:$D,AGGREGATE(15,6,ROW($A$6:$A$500)/(('בנק'!$I$6:$I$500&lt;0)*('בנק'!$I$6:$I$500&lt;&gt;"")),ROW()-7)),"")</f>
        <v/>
      </c>
      <c r="E35" s="34">
        <f>IFERROR(INDEX('בנק'!$E:$E,AGGREGATE(15,6,ROW($A$6:$A$500)/(('בנק'!$I$6:$I$500&lt;0)*('בנק'!$I$6:$I$500&lt;&gt;"")),ROW()-7)),"")</f>
        <v/>
      </c>
      <c r="F35" s="34">
        <f>IFERROR(INDEX('בנק'!$F:$F,AGGREGATE(15,6,ROW($A$6:$A$500)/(('בנק'!$I$6:$I$500&lt;0)*('בנק'!$I$6:$I$500&lt;&gt;"")),ROW()-7)),"")</f>
        <v/>
      </c>
      <c r="G35" s="19">
        <f>IFERROR(INDEX('בנק'!$G:$G,AGGREGATE(15,6,ROW($A$6:$A$500)/(('בנק'!$I$6:$I$500&lt;0)*('בנק'!$I$6:$I$500&lt;&gt;"")),ROW()-7)),"")</f>
        <v/>
      </c>
      <c r="H35" s="19">
        <f>IFERROR(INDEX('בנק'!$H:$H,AGGREGATE(15,6,ROW($A$6:$A$500)/(('בנק'!$I$6:$I$500&lt;0)*('בנק'!$I$6:$I$500&lt;&gt;"")),ROW()-7)),"")</f>
        <v/>
      </c>
      <c r="I35" s="19">
        <f>IFERROR(INDEX('בנק'!$I:$I,AGGREGATE(15,6,ROW($A$6:$A$500)/(('בנק'!$I$6:$I$500&lt;0)*('בנק'!$I$6:$I$500&lt;&gt;"")),ROW()-7)),"")</f>
        <v/>
      </c>
      <c r="J35" s="35">
        <f>IFERROR(A34-A35,"")</f>
        <v/>
      </c>
      <c r="K35" s="35">
        <f>IFERROR(A35-A36,"")</f>
        <v/>
      </c>
      <c r="L35" s="19">
        <f>IFERROR($L$6/365*I35*J35,"")</f>
        <v/>
      </c>
    </row>
    <row r="36">
      <c r="A36" s="33">
        <f>IFERROR(INDEX('בנק'!$A:$A,AGGREGATE(15,6,ROW($A$6:$A$500)/(('בנק'!$I$6:$I$500&lt;0)*('בנק'!$I$6:$I$500&lt;&gt;"")),ROW()-7)),"")</f>
        <v/>
      </c>
      <c r="B36" s="34">
        <f>IFERROR(INDEX('בנק'!$B:$B,AGGREGATE(15,6,ROW($A$6:$A$500)/(('בנק'!$I$6:$I$500&lt;0)*('בנק'!$I$6:$I$500&lt;&gt;"")),ROW()-7)),"")</f>
        <v/>
      </c>
      <c r="C36" s="34">
        <f>IFERROR(INDEX('בנק'!$C:$C,AGGREGATE(15,6,ROW($A$6:$A$500)/(('בנק'!$I$6:$I$500&lt;0)*('בנק'!$I$6:$I$500&lt;&gt;"")),ROW()-7)),"")</f>
        <v/>
      </c>
      <c r="D36" s="34">
        <f>IFERROR(INDEX('בנק'!$D:$D,AGGREGATE(15,6,ROW($A$6:$A$500)/(('בנק'!$I$6:$I$500&lt;0)*('בנק'!$I$6:$I$500&lt;&gt;"")),ROW()-7)),"")</f>
        <v/>
      </c>
      <c r="E36" s="34">
        <f>IFERROR(INDEX('בנק'!$E:$E,AGGREGATE(15,6,ROW($A$6:$A$500)/(('בנק'!$I$6:$I$500&lt;0)*('בנק'!$I$6:$I$500&lt;&gt;"")),ROW()-7)),"")</f>
        <v/>
      </c>
      <c r="F36" s="34">
        <f>IFERROR(INDEX('בנק'!$F:$F,AGGREGATE(15,6,ROW($A$6:$A$500)/(('בנק'!$I$6:$I$500&lt;0)*('בנק'!$I$6:$I$500&lt;&gt;"")),ROW()-7)),"")</f>
        <v/>
      </c>
      <c r="G36" s="19">
        <f>IFERROR(INDEX('בנק'!$G:$G,AGGREGATE(15,6,ROW($A$6:$A$500)/(('בנק'!$I$6:$I$500&lt;0)*('בנק'!$I$6:$I$500&lt;&gt;"")),ROW()-7)),"")</f>
        <v/>
      </c>
      <c r="H36" s="19">
        <f>IFERROR(INDEX('בנק'!$H:$H,AGGREGATE(15,6,ROW($A$6:$A$500)/(('בנק'!$I$6:$I$500&lt;0)*('בנק'!$I$6:$I$500&lt;&gt;"")),ROW()-7)),"")</f>
        <v/>
      </c>
      <c r="I36" s="19">
        <f>IFERROR(INDEX('בנק'!$I:$I,AGGREGATE(15,6,ROW($A$6:$A$500)/(('בנק'!$I$6:$I$500&lt;0)*('בנק'!$I$6:$I$500&lt;&gt;"")),ROW()-7)),"")</f>
        <v/>
      </c>
      <c r="J36" s="35">
        <f>IFERROR(A35-A36,"")</f>
        <v/>
      </c>
      <c r="K36" s="35">
        <f>IFERROR(A36-A37,"")</f>
        <v/>
      </c>
      <c r="L36" s="19">
        <f>IFERROR($L$6/365*I36*J36,"")</f>
        <v/>
      </c>
    </row>
    <row r="37">
      <c r="A37" s="33">
        <f>IFERROR(INDEX('בנק'!$A:$A,AGGREGATE(15,6,ROW($A$6:$A$500)/(('בנק'!$I$6:$I$500&lt;0)*('בנק'!$I$6:$I$500&lt;&gt;"")),ROW()-7)),"")</f>
        <v/>
      </c>
      <c r="B37" s="34">
        <f>IFERROR(INDEX('בנק'!$B:$B,AGGREGATE(15,6,ROW($A$6:$A$500)/(('בנק'!$I$6:$I$500&lt;0)*('בנק'!$I$6:$I$500&lt;&gt;"")),ROW()-7)),"")</f>
        <v/>
      </c>
      <c r="C37" s="34">
        <f>IFERROR(INDEX('בנק'!$C:$C,AGGREGATE(15,6,ROW($A$6:$A$500)/(('בנק'!$I$6:$I$500&lt;0)*('בנק'!$I$6:$I$500&lt;&gt;"")),ROW()-7)),"")</f>
        <v/>
      </c>
      <c r="D37" s="34">
        <f>IFERROR(INDEX('בנק'!$D:$D,AGGREGATE(15,6,ROW($A$6:$A$500)/(('בנק'!$I$6:$I$500&lt;0)*('בנק'!$I$6:$I$500&lt;&gt;"")),ROW()-7)),"")</f>
        <v/>
      </c>
      <c r="E37" s="34">
        <f>IFERROR(INDEX('בנק'!$E:$E,AGGREGATE(15,6,ROW($A$6:$A$500)/(('בנק'!$I$6:$I$500&lt;0)*('בנק'!$I$6:$I$500&lt;&gt;"")),ROW()-7)),"")</f>
        <v/>
      </c>
      <c r="F37" s="34">
        <f>IFERROR(INDEX('בנק'!$F:$F,AGGREGATE(15,6,ROW($A$6:$A$500)/(('בנק'!$I$6:$I$500&lt;0)*('בנק'!$I$6:$I$500&lt;&gt;"")),ROW()-7)),"")</f>
        <v/>
      </c>
      <c r="G37" s="19">
        <f>IFERROR(INDEX('בנק'!$G:$G,AGGREGATE(15,6,ROW($A$6:$A$500)/(('בנק'!$I$6:$I$500&lt;0)*('בנק'!$I$6:$I$500&lt;&gt;"")),ROW()-7)),"")</f>
        <v/>
      </c>
      <c r="H37" s="19">
        <f>IFERROR(INDEX('בנק'!$H:$H,AGGREGATE(15,6,ROW($A$6:$A$500)/(('בנק'!$I$6:$I$500&lt;0)*('בנק'!$I$6:$I$500&lt;&gt;"")),ROW()-7)),"")</f>
        <v/>
      </c>
      <c r="I37" s="19">
        <f>IFERROR(INDEX('בנק'!$I:$I,AGGREGATE(15,6,ROW($A$6:$A$500)/(('בנק'!$I$6:$I$500&lt;0)*('בנק'!$I$6:$I$500&lt;&gt;"")),ROW()-7)),"")</f>
        <v/>
      </c>
      <c r="J37" s="35">
        <f>IFERROR(A36-A37,"")</f>
        <v/>
      </c>
      <c r="K37" s="35">
        <f>IFERROR(A37-A38,"")</f>
        <v/>
      </c>
      <c r="L37" s="19">
        <f>IFERROR($L$6/365*I37*J37,"")</f>
        <v/>
      </c>
    </row>
    <row r="38">
      <c r="A38" s="33">
        <f>IFERROR(INDEX('בנק'!$A:$A,AGGREGATE(15,6,ROW($A$6:$A$500)/(('בנק'!$I$6:$I$500&lt;0)*('בנק'!$I$6:$I$500&lt;&gt;"")),ROW()-7)),"")</f>
        <v/>
      </c>
      <c r="B38" s="34">
        <f>IFERROR(INDEX('בנק'!$B:$B,AGGREGATE(15,6,ROW($A$6:$A$500)/(('בנק'!$I$6:$I$500&lt;0)*('בנק'!$I$6:$I$500&lt;&gt;"")),ROW()-7)),"")</f>
        <v/>
      </c>
      <c r="C38" s="34">
        <f>IFERROR(INDEX('בנק'!$C:$C,AGGREGATE(15,6,ROW($A$6:$A$500)/(('בנק'!$I$6:$I$500&lt;0)*('בנק'!$I$6:$I$500&lt;&gt;"")),ROW()-7)),"")</f>
        <v/>
      </c>
      <c r="D38" s="34">
        <f>IFERROR(INDEX('בנק'!$D:$D,AGGREGATE(15,6,ROW($A$6:$A$500)/(('בנק'!$I$6:$I$500&lt;0)*('בנק'!$I$6:$I$500&lt;&gt;"")),ROW()-7)),"")</f>
        <v/>
      </c>
      <c r="E38" s="34">
        <f>IFERROR(INDEX('בנק'!$E:$E,AGGREGATE(15,6,ROW($A$6:$A$500)/(('בנק'!$I$6:$I$500&lt;0)*('בנק'!$I$6:$I$500&lt;&gt;"")),ROW()-7)),"")</f>
        <v/>
      </c>
      <c r="F38" s="34">
        <f>IFERROR(INDEX('בנק'!$F:$F,AGGREGATE(15,6,ROW($A$6:$A$500)/(('בנק'!$I$6:$I$500&lt;0)*('בנק'!$I$6:$I$500&lt;&gt;"")),ROW()-7)),"")</f>
        <v/>
      </c>
      <c r="G38" s="19">
        <f>IFERROR(INDEX('בנק'!$G:$G,AGGREGATE(15,6,ROW($A$6:$A$500)/(('בנק'!$I$6:$I$500&lt;0)*('בנק'!$I$6:$I$500&lt;&gt;"")),ROW()-7)),"")</f>
        <v/>
      </c>
      <c r="H38" s="19">
        <f>IFERROR(INDEX('בנק'!$H:$H,AGGREGATE(15,6,ROW($A$6:$A$500)/(('בנק'!$I$6:$I$500&lt;0)*('בנק'!$I$6:$I$500&lt;&gt;"")),ROW()-7)),"")</f>
        <v/>
      </c>
      <c r="I38" s="19">
        <f>IFERROR(INDEX('בנק'!$I:$I,AGGREGATE(15,6,ROW($A$6:$A$500)/(('בנק'!$I$6:$I$500&lt;0)*('בנק'!$I$6:$I$500&lt;&gt;"")),ROW()-7)),"")</f>
        <v/>
      </c>
      <c r="J38" s="35">
        <f>IFERROR(A37-A38,"")</f>
        <v/>
      </c>
      <c r="K38" s="35">
        <f>IFERROR(A38-A39,"")</f>
        <v/>
      </c>
      <c r="L38" s="19">
        <f>IFERROR($L$6/365*I38*J38,"")</f>
        <v/>
      </c>
    </row>
    <row r="39">
      <c r="A39" s="33">
        <f>IFERROR(INDEX('בנק'!$A:$A,AGGREGATE(15,6,ROW($A$6:$A$500)/(('בנק'!$I$6:$I$500&lt;0)*('בנק'!$I$6:$I$500&lt;&gt;"")),ROW()-7)),"")</f>
        <v/>
      </c>
      <c r="B39" s="34">
        <f>IFERROR(INDEX('בנק'!$B:$B,AGGREGATE(15,6,ROW($A$6:$A$500)/(('בנק'!$I$6:$I$500&lt;0)*('בנק'!$I$6:$I$500&lt;&gt;"")),ROW()-7)),"")</f>
        <v/>
      </c>
      <c r="C39" s="34">
        <f>IFERROR(INDEX('בנק'!$C:$C,AGGREGATE(15,6,ROW($A$6:$A$500)/(('בנק'!$I$6:$I$500&lt;0)*('בנק'!$I$6:$I$500&lt;&gt;"")),ROW()-7)),"")</f>
        <v/>
      </c>
      <c r="D39" s="34">
        <f>IFERROR(INDEX('בנק'!$D:$D,AGGREGATE(15,6,ROW($A$6:$A$500)/(('בנק'!$I$6:$I$500&lt;0)*('בנק'!$I$6:$I$500&lt;&gt;"")),ROW()-7)),"")</f>
        <v/>
      </c>
      <c r="E39" s="34">
        <f>IFERROR(INDEX('בנק'!$E:$E,AGGREGATE(15,6,ROW($A$6:$A$500)/(('בנק'!$I$6:$I$500&lt;0)*('בנק'!$I$6:$I$500&lt;&gt;"")),ROW()-7)),"")</f>
        <v/>
      </c>
      <c r="F39" s="34">
        <f>IFERROR(INDEX('בנק'!$F:$F,AGGREGATE(15,6,ROW($A$6:$A$500)/(('בנק'!$I$6:$I$500&lt;0)*('בנק'!$I$6:$I$500&lt;&gt;"")),ROW()-7)),"")</f>
        <v/>
      </c>
      <c r="G39" s="19">
        <f>IFERROR(INDEX('בנק'!$G:$G,AGGREGATE(15,6,ROW($A$6:$A$500)/(('בנק'!$I$6:$I$500&lt;0)*('בנק'!$I$6:$I$500&lt;&gt;"")),ROW()-7)),"")</f>
        <v/>
      </c>
      <c r="H39" s="19">
        <f>IFERROR(INDEX('בנק'!$H:$H,AGGREGATE(15,6,ROW($A$6:$A$500)/(('בנק'!$I$6:$I$500&lt;0)*('בנק'!$I$6:$I$500&lt;&gt;"")),ROW()-7)),"")</f>
        <v/>
      </c>
      <c r="I39" s="19">
        <f>IFERROR(INDEX('בנק'!$I:$I,AGGREGATE(15,6,ROW($A$6:$A$500)/(('בנק'!$I$6:$I$500&lt;0)*('בנק'!$I$6:$I$500&lt;&gt;"")),ROW()-7)),"")</f>
        <v/>
      </c>
      <c r="J39" s="35">
        <f>IFERROR(A38-A39,"")</f>
        <v/>
      </c>
      <c r="K39" s="35">
        <f>IFERROR(A39-A40,"")</f>
        <v/>
      </c>
      <c r="L39" s="19">
        <f>IFERROR($L$6/365*I39*J39,"")</f>
        <v/>
      </c>
    </row>
    <row r="40">
      <c r="A40" s="33">
        <f>IFERROR(INDEX('בנק'!$A:$A,AGGREGATE(15,6,ROW($A$6:$A$500)/(('בנק'!$I$6:$I$500&lt;0)*('בנק'!$I$6:$I$500&lt;&gt;"")),ROW()-7)),"")</f>
        <v/>
      </c>
      <c r="B40" s="34">
        <f>IFERROR(INDEX('בנק'!$B:$B,AGGREGATE(15,6,ROW($A$6:$A$500)/(('בנק'!$I$6:$I$500&lt;0)*('בנק'!$I$6:$I$500&lt;&gt;"")),ROW()-7)),"")</f>
        <v/>
      </c>
      <c r="C40" s="34">
        <f>IFERROR(INDEX('בנק'!$C:$C,AGGREGATE(15,6,ROW($A$6:$A$500)/(('בנק'!$I$6:$I$500&lt;0)*('בנק'!$I$6:$I$500&lt;&gt;"")),ROW()-7)),"")</f>
        <v/>
      </c>
      <c r="D40" s="34">
        <f>IFERROR(INDEX('בנק'!$D:$D,AGGREGATE(15,6,ROW($A$6:$A$500)/(('בנק'!$I$6:$I$500&lt;0)*('בנק'!$I$6:$I$500&lt;&gt;"")),ROW()-7)),"")</f>
        <v/>
      </c>
      <c r="E40" s="34">
        <f>IFERROR(INDEX('בנק'!$E:$E,AGGREGATE(15,6,ROW($A$6:$A$500)/(('בנק'!$I$6:$I$500&lt;0)*('בנק'!$I$6:$I$500&lt;&gt;"")),ROW()-7)),"")</f>
        <v/>
      </c>
      <c r="F40" s="34">
        <f>IFERROR(INDEX('בנק'!$F:$F,AGGREGATE(15,6,ROW($A$6:$A$500)/(('בנק'!$I$6:$I$500&lt;0)*('בנק'!$I$6:$I$500&lt;&gt;"")),ROW()-7)),"")</f>
        <v/>
      </c>
      <c r="G40" s="19">
        <f>IFERROR(INDEX('בנק'!$G:$G,AGGREGATE(15,6,ROW($A$6:$A$500)/(('בנק'!$I$6:$I$500&lt;0)*('בנק'!$I$6:$I$500&lt;&gt;"")),ROW()-7)),"")</f>
        <v/>
      </c>
      <c r="H40" s="19">
        <f>IFERROR(INDEX('בנק'!$H:$H,AGGREGATE(15,6,ROW($A$6:$A$500)/(('בנק'!$I$6:$I$500&lt;0)*('בנק'!$I$6:$I$500&lt;&gt;"")),ROW()-7)),"")</f>
        <v/>
      </c>
      <c r="I40" s="19">
        <f>IFERROR(INDEX('בנק'!$I:$I,AGGREGATE(15,6,ROW($A$6:$A$500)/(('בנק'!$I$6:$I$500&lt;0)*('בנק'!$I$6:$I$500&lt;&gt;"")),ROW()-7)),"")</f>
        <v/>
      </c>
      <c r="J40" s="35">
        <f>IFERROR(A39-A40,"")</f>
        <v/>
      </c>
      <c r="K40" s="35">
        <f>IFERROR(A40-A41,"")</f>
        <v/>
      </c>
      <c r="L40" s="19">
        <f>IFERROR($L$6/365*I40*J40,"")</f>
        <v/>
      </c>
    </row>
    <row r="41">
      <c r="A41" s="33">
        <f>IFERROR(INDEX('בנק'!$A:$A,AGGREGATE(15,6,ROW($A$6:$A$500)/(('בנק'!$I$6:$I$500&lt;0)*('בנק'!$I$6:$I$500&lt;&gt;"")),ROW()-7)),"")</f>
        <v/>
      </c>
      <c r="B41" s="34">
        <f>IFERROR(INDEX('בנק'!$B:$B,AGGREGATE(15,6,ROW($A$6:$A$500)/(('בנק'!$I$6:$I$500&lt;0)*('בנק'!$I$6:$I$500&lt;&gt;"")),ROW()-7)),"")</f>
        <v/>
      </c>
      <c r="C41" s="34">
        <f>IFERROR(INDEX('בנק'!$C:$C,AGGREGATE(15,6,ROW($A$6:$A$500)/(('בנק'!$I$6:$I$500&lt;0)*('בנק'!$I$6:$I$500&lt;&gt;"")),ROW()-7)),"")</f>
        <v/>
      </c>
      <c r="D41" s="34">
        <f>IFERROR(INDEX('בנק'!$D:$D,AGGREGATE(15,6,ROW($A$6:$A$500)/(('בנק'!$I$6:$I$500&lt;0)*('בנק'!$I$6:$I$500&lt;&gt;"")),ROW()-7)),"")</f>
        <v/>
      </c>
      <c r="E41" s="34">
        <f>IFERROR(INDEX('בנק'!$E:$E,AGGREGATE(15,6,ROW($A$6:$A$500)/(('בנק'!$I$6:$I$500&lt;0)*('בנק'!$I$6:$I$500&lt;&gt;"")),ROW()-7)),"")</f>
        <v/>
      </c>
      <c r="F41" s="34">
        <f>IFERROR(INDEX('בנק'!$F:$F,AGGREGATE(15,6,ROW($A$6:$A$500)/(('בנק'!$I$6:$I$500&lt;0)*('בנק'!$I$6:$I$500&lt;&gt;"")),ROW()-7)),"")</f>
        <v/>
      </c>
      <c r="G41" s="19">
        <f>IFERROR(INDEX('בנק'!$G:$G,AGGREGATE(15,6,ROW($A$6:$A$500)/(('בנק'!$I$6:$I$500&lt;0)*('בנק'!$I$6:$I$500&lt;&gt;"")),ROW()-7)),"")</f>
        <v/>
      </c>
      <c r="H41" s="19">
        <f>IFERROR(INDEX('בנק'!$H:$H,AGGREGATE(15,6,ROW($A$6:$A$500)/(('בנק'!$I$6:$I$500&lt;0)*('בנק'!$I$6:$I$500&lt;&gt;"")),ROW()-7)),"")</f>
        <v/>
      </c>
      <c r="I41" s="19">
        <f>IFERROR(INDEX('בנק'!$I:$I,AGGREGATE(15,6,ROW($A$6:$A$500)/(('בנק'!$I$6:$I$500&lt;0)*('בנק'!$I$6:$I$500&lt;&gt;"")),ROW()-7)),"")</f>
        <v/>
      </c>
      <c r="J41" s="35">
        <f>IFERROR(A40-A41,"")</f>
        <v/>
      </c>
      <c r="K41" s="35">
        <f>IFERROR(A41-A42,"")</f>
        <v/>
      </c>
      <c r="L41" s="19">
        <f>IFERROR($L$6/365*I41*J41,"")</f>
        <v/>
      </c>
    </row>
    <row r="42">
      <c r="A42" s="33">
        <f>IFERROR(INDEX('בנק'!$A:$A,AGGREGATE(15,6,ROW($A$6:$A$500)/(('בנק'!$I$6:$I$500&lt;0)*('בנק'!$I$6:$I$500&lt;&gt;"")),ROW()-7)),"")</f>
        <v/>
      </c>
      <c r="B42" s="34">
        <f>IFERROR(INDEX('בנק'!$B:$B,AGGREGATE(15,6,ROW($A$6:$A$500)/(('בנק'!$I$6:$I$500&lt;0)*('בנק'!$I$6:$I$500&lt;&gt;"")),ROW()-7)),"")</f>
        <v/>
      </c>
      <c r="C42" s="34">
        <f>IFERROR(INDEX('בנק'!$C:$C,AGGREGATE(15,6,ROW($A$6:$A$500)/(('בנק'!$I$6:$I$500&lt;0)*('בנק'!$I$6:$I$500&lt;&gt;"")),ROW()-7)),"")</f>
        <v/>
      </c>
      <c r="D42" s="34">
        <f>IFERROR(INDEX('בנק'!$D:$D,AGGREGATE(15,6,ROW($A$6:$A$500)/(('בנק'!$I$6:$I$500&lt;0)*('בנק'!$I$6:$I$500&lt;&gt;"")),ROW()-7)),"")</f>
        <v/>
      </c>
      <c r="E42" s="34">
        <f>IFERROR(INDEX('בנק'!$E:$E,AGGREGATE(15,6,ROW($A$6:$A$500)/(('בנק'!$I$6:$I$500&lt;0)*('בנק'!$I$6:$I$500&lt;&gt;"")),ROW()-7)),"")</f>
        <v/>
      </c>
      <c r="F42" s="34">
        <f>IFERROR(INDEX('בנק'!$F:$F,AGGREGATE(15,6,ROW($A$6:$A$500)/(('בנק'!$I$6:$I$500&lt;0)*('בנק'!$I$6:$I$500&lt;&gt;"")),ROW()-7)),"")</f>
        <v/>
      </c>
      <c r="G42" s="19">
        <f>IFERROR(INDEX('בנק'!$G:$G,AGGREGATE(15,6,ROW($A$6:$A$500)/(('בנק'!$I$6:$I$500&lt;0)*('בנק'!$I$6:$I$500&lt;&gt;"")),ROW()-7)),"")</f>
        <v/>
      </c>
      <c r="H42" s="19">
        <f>IFERROR(INDEX('בנק'!$H:$H,AGGREGATE(15,6,ROW($A$6:$A$500)/(('בנק'!$I$6:$I$500&lt;0)*('בנק'!$I$6:$I$500&lt;&gt;"")),ROW()-7)),"")</f>
        <v/>
      </c>
      <c r="I42" s="19">
        <f>IFERROR(INDEX('בנק'!$I:$I,AGGREGATE(15,6,ROW($A$6:$A$500)/(('בנק'!$I$6:$I$500&lt;0)*('בנק'!$I$6:$I$500&lt;&gt;"")),ROW()-7)),"")</f>
        <v/>
      </c>
      <c r="J42" s="35">
        <f>IFERROR(A41-A42,"")</f>
        <v/>
      </c>
      <c r="K42" s="35">
        <f>IFERROR(A42-A43,"")</f>
        <v/>
      </c>
      <c r="L42" s="19">
        <f>IFERROR($L$6/365*I42*J42,"")</f>
        <v/>
      </c>
    </row>
    <row r="43">
      <c r="A43" s="33">
        <f>IFERROR(INDEX('בנק'!$A:$A,AGGREGATE(15,6,ROW($A$6:$A$500)/(('בנק'!$I$6:$I$500&lt;0)*('בנק'!$I$6:$I$500&lt;&gt;"")),ROW()-7)),"")</f>
        <v/>
      </c>
      <c r="B43" s="34">
        <f>IFERROR(INDEX('בנק'!$B:$B,AGGREGATE(15,6,ROW($A$6:$A$500)/(('בנק'!$I$6:$I$500&lt;0)*('בנק'!$I$6:$I$500&lt;&gt;"")),ROW()-7)),"")</f>
        <v/>
      </c>
      <c r="C43" s="34">
        <f>IFERROR(INDEX('בנק'!$C:$C,AGGREGATE(15,6,ROW($A$6:$A$500)/(('בנק'!$I$6:$I$500&lt;0)*('בנק'!$I$6:$I$500&lt;&gt;"")),ROW()-7)),"")</f>
        <v/>
      </c>
      <c r="D43" s="34">
        <f>IFERROR(INDEX('בנק'!$D:$D,AGGREGATE(15,6,ROW($A$6:$A$500)/(('בנק'!$I$6:$I$500&lt;0)*('בנק'!$I$6:$I$500&lt;&gt;"")),ROW()-7)),"")</f>
        <v/>
      </c>
      <c r="E43" s="34">
        <f>IFERROR(INDEX('בנק'!$E:$E,AGGREGATE(15,6,ROW($A$6:$A$500)/(('בנק'!$I$6:$I$500&lt;0)*('בנק'!$I$6:$I$500&lt;&gt;"")),ROW()-7)),"")</f>
        <v/>
      </c>
      <c r="F43" s="34">
        <f>IFERROR(INDEX('בנק'!$F:$F,AGGREGATE(15,6,ROW($A$6:$A$500)/(('בנק'!$I$6:$I$500&lt;0)*('בנק'!$I$6:$I$500&lt;&gt;"")),ROW()-7)),"")</f>
        <v/>
      </c>
      <c r="G43" s="19">
        <f>IFERROR(INDEX('בנק'!$G:$G,AGGREGATE(15,6,ROW($A$6:$A$500)/(('בנק'!$I$6:$I$500&lt;0)*('בנק'!$I$6:$I$500&lt;&gt;"")),ROW()-7)),"")</f>
        <v/>
      </c>
      <c r="H43" s="19">
        <f>IFERROR(INDEX('בנק'!$H:$H,AGGREGATE(15,6,ROW($A$6:$A$500)/(('בנק'!$I$6:$I$500&lt;0)*('בנק'!$I$6:$I$500&lt;&gt;"")),ROW()-7)),"")</f>
        <v/>
      </c>
      <c r="I43" s="19">
        <f>IFERROR(INDEX('בנק'!$I:$I,AGGREGATE(15,6,ROW($A$6:$A$500)/(('בנק'!$I$6:$I$500&lt;0)*('בנק'!$I$6:$I$500&lt;&gt;"")),ROW()-7)),"")</f>
        <v/>
      </c>
      <c r="J43" s="35">
        <f>IFERROR(A42-A43,"")</f>
        <v/>
      </c>
      <c r="K43" s="35">
        <f>IFERROR(A43-A44,"")</f>
        <v/>
      </c>
      <c r="L43" s="19">
        <f>IFERROR($L$6/365*I43*J43,"")</f>
        <v/>
      </c>
    </row>
    <row r="44">
      <c r="A44" s="33">
        <f>IFERROR(INDEX('בנק'!$A:$A,AGGREGATE(15,6,ROW($A$6:$A$500)/(('בנק'!$I$6:$I$500&lt;0)*('בנק'!$I$6:$I$500&lt;&gt;"")),ROW()-7)),"")</f>
        <v/>
      </c>
      <c r="B44" s="34">
        <f>IFERROR(INDEX('בנק'!$B:$B,AGGREGATE(15,6,ROW($A$6:$A$500)/(('בנק'!$I$6:$I$500&lt;0)*('בנק'!$I$6:$I$500&lt;&gt;"")),ROW()-7)),"")</f>
        <v/>
      </c>
      <c r="C44" s="34">
        <f>IFERROR(INDEX('בנק'!$C:$C,AGGREGATE(15,6,ROW($A$6:$A$500)/(('בנק'!$I$6:$I$500&lt;0)*('בנק'!$I$6:$I$500&lt;&gt;"")),ROW()-7)),"")</f>
        <v/>
      </c>
      <c r="D44" s="34">
        <f>IFERROR(INDEX('בנק'!$D:$D,AGGREGATE(15,6,ROW($A$6:$A$500)/(('בנק'!$I$6:$I$500&lt;0)*('בנק'!$I$6:$I$500&lt;&gt;"")),ROW()-7)),"")</f>
        <v/>
      </c>
      <c r="E44" s="34">
        <f>IFERROR(INDEX('בנק'!$E:$E,AGGREGATE(15,6,ROW($A$6:$A$500)/(('בנק'!$I$6:$I$500&lt;0)*('בנק'!$I$6:$I$500&lt;&gt;"")),ROW()-7)),"")</f>
        <v/>
      </c>
      <c r="F44" s="34">
        <f>IFERROR(INDEX('בנק'!$F:$F,AGGREGATE(15,6,ROW($A$6:$A$500)/(('בנק'!$I$6:$I$500&lt;0)*('בנק'!$I$6:$I$500&lt;&gt;"")),ROW()-7)),"")</f>
        <v/>
      </c>
      <c r="G44" s="19">
        <f>IFERROR(INDEX('בנק'!$G:$G,AGGREGATE(15,6,ROW($A$6:$A$500)/(('בנק'!$I$6:$I$500&lt;0)*('בנק'!$I$6:$I$500&lt;&gt;"")),ROW()-7)),"")</f>
        <v/>
      </c>
      <c r="H44" s="19">
        <f>IFERROR(INDEX('בנק'!$H:$H,AGGREGATE(15,6,ROW($A$6:$A$500)/(('בנק'!$I$6:$I$500&lt;0)*('בנק'!$I$6:$I$500&lt;&gt;"")),ROW()-7)),"")</f>
        <v/>
      </c>
      <c r="I44" s="19">
        <f>IFERROR(INDEX('בנק'!$I:$I,AGGREGATE(15,6,ROW($A$6:$A$500)/(('בנק'!$I$6:$I$500&lt;0)*('בנק'!$I$6:$I$500&lt;&gt;"")),ROW()-7)),"")</f>
        <v/>
      </c>
      <c r="J44" s="35">
        <f>IFERROR(A43-A44,"")</f>
        <v/>
      </c>
      <c r="K44" s="35">
        <f>IFERROR(A44-A45,"")</f>
        <v/>
      </c>
      <c r="L44" s="19">
        <f>IFERROR($L$6/365*I44*J44,"")</f>
        <v/>
      </c>
    </row>
    <row r="45">
      <c r="A45" s="33">
        <f>IFERROR(INDEX('בנק'!$A:$A,AGGREGATE(15,6,ROW($A$6:$A$500)/(('בנק'!$I$6:$I$500&lt;0)*('בנק'!$I$6:$I$500&lt;&gt;"")),ROW()-7)),"")</f>
        <v/>
      </c>
      <c r="B45" s="34">
        <f>IFERROR(INDEX('בנק'!$B:$B,AGGREGATE(15,6,ROW($A$6:$A$500)/(('בנק'!$I$6:$I$500&lt;0)*('בנק'!$I$6:$I$500&lt;&gt;"")),ROW()-7)),"")</f>
        <v/>
      </c>
      <c r="C45" s="34">
        <f>IFERROR(INDEX('בנק'!$C:$C,AGGREGATE(15,6,ROW($A$6:$A$500)/(('בנק'!$I$6:$I$500&lt;0)*('בנק'!$I$6:$I$500&lt;&gt;"")),ROW()-7)),"")</f>
        <v/>
      </c>
      <c r="D45" s="34">
        <f>IFERROR(INDEX('בנק'!$D:$D,AGGREGATE(15,6,ROW($A$6:$A$500)/(('בנק'!$I$6:$I$500&lt;0)*('בנק'!$I$6:$I$500&lt;&gt;"")),ROW()-7)),"")</f>
        <v/>
      </c>
      <c r="E45" s="34">
        <f>IFERROR(INDEX('בנק'!$E:$E,AGGREGATE(15,6,ROW($A$6:$A$500)/(('בנק'!$I$6:$I$500&lt;0)*('בנק'!$I$6:$I$500&lt;&gt;"")),ROW()-7)),"")</f>
        <v/>
      </c>
      <c r="F45" s="34">
        <f>IFERROR(INDEX('בנק'!$F:$F,AGGREGATE(15,6,ROW($A$6:$A$500)/(('בנק'!$I$6:$I$500&lt;0)*('בנק'!$I$6:$I$500&lt;&gt;"")),ROW()-7)),"")</f>
        <v/>
      </c>
      <c r="G45" s="19">
        <f>IFERROR(INDEX('בנק'!$G:$G,AGGREGATE(15,6,ROW($A$6:$A$500)/(('בנק'!$I$6:$I$500&lt;0)*('בנק'!$I$6:$I$500&lt;&gt;"")),ROW()-7)),"")</f>
        <v/>
      </c>
      <c r="H45" s="19">
        <f>IFERROR(INDEX('בנק'!$H:$H,AGGREGATE(15,6,ROW($A$6:$A$500)/(('בנק'!$I$6:$I$500&lt;0)*('בנק'!$I$6:$I$500&lt;&gt;"")),ROW()-7)),"")</f>
        <v/>
      </c>
      <c r="I45" s="19">
        <f>IFERROR(INDEX('בנק'!$I:$I,AGGREGATE(15,6,ROW($A$6:$A$500)/(('בנק'!$I$6:$I$500&lt;0)*('בנק'!$I$6:$I$500&lt;&gt;"")),ROW()-7)),"")</f>
        <v/>
      </c>
      <c r="J45" s="35">
        <f>IFERROR(A44-A45,"")</f>
        <v/>
      </c>
      <c r="K45" s="35">
        <f>IFERROR(A45-A46,"")</f>
        <v/>
      </c>
      <c r="L45" s="19">
        <f>IFERROR($L$6/365*I45*J45,"")</f>
        <v/>
      </c>
    </row>
    <row r="46">
      <c r="A46" s="33">
        <f>IFERROR(INDEX('בנק'!$A:$A,AGGREGATE(15,6,ROW($A$6:$A$500)/(('בנק'!$I$6:$I$500&lt;0)*('בנק'!$I$6:$I$500&lt;&gt;"")),ROW()-7)),"")</f>
        <v/>
      </c>
      <c r="B46" s="34">
        <f>IFERROR(INDEX('בנק'!$B:$B,AGGREGATE(15,6,ROW($A$6:$A$500)/(('בנק'!$I$6:$I$500&lt;0)*('בנק'!$I$6:$I$500&lt;&gt;"")),ROW()-7)),"")</f>
        <v/>
      </c>
      <c r="C46" s="34">
        <f>IFERROR(INDEX('בנק'!$C:$C,AGGREGATE(15,6,ROW($A$6:$A$500)/(('בנק'!$I$6:$I$500&lt;0)*('בנק'!$I$6:$I$500&lt;&gt;"")),ROW()-7)),"")</f>
        <v/>
      </c>
      <c r="D46" s="34">
        <f>IFERROR(INDEX('בנק'!$D:$D,AGGREGATE(15,6,ROW($A$6:$A$500)/(('בנק'!$I$6:$I$500&lt;0)*('בנק'!$I$6:$I$500&lt;&gt;"")),ROW()-7)),"")</f>
        <v/>
      </c>
      <c r="E46" s="34">
        <f>IFERROR(INDEX('בנק'!$E:$E,AGGREGATE(15,6,ROW($A$6:$A$500)/(('בנק'!$I$6:$I$500&lt;0)*('בנק'!$I$6:$I$500&lt;&gt;"")),ROW()-7)),"")</f>
        <v/>
      </c>
      <c r="F46" s="34">
        <f>IFERROR(INDEX('בנק'!$F:$F,AGGREGATE(15,6,ROW($A$6:$A$500)/(('בנק'!$I$6:$I$500&lt;0)*('בנק'!$I$6:$I$500&lt;&gt;"")),ROW()-7)),"")</f>
        <v/>
      </c>
      <c r="G46" s="19">
        <f>IFERROR(INDEX('בנק'!$G:$G,AGGREGATE(15,6,ROW($A$6:$A$500)/(('בנק'!$I$6:$I$500&lt;0)*('בנק'!$I$6:$I$500&lt;&gt;"")),ROW()-7)),"")</f>
        <v/>
      </c>
      <c r="H46" s="19">
        <f>IFERROR(INDEX('בנק'!$H:$H,AGGREGATE(15,6,ROW($A$6:$A$500)/(('בנק'!$I$6:$I$500&lt;0)*('בנק'!$I$6:$I$500&lt;&gt;"")),ROW()-7)),"")</f>
        <v/>
      </c>
      <c r="I46" s="19">
        <f>IFERROR(INDEX('בנק'!$I:$I,AGGREGATE(15,6,ROW($A$6:$A$500)/(('בנק'!$I$6:$I$500&lt;0)*('בנק'!$I$6:$I$500&lt;&gt;"")),ROW()-7)),"")</f>
        <v/>
      </c>
      <c r="J46" s="35">
        <f>IFERROR(A45-A46,"")</f>
        <v/>
      </c>
      <c r="K46" s="35">
        <f>IFERROR(A46-A47,"")</f>
        <v/>
      </c>
      <c r="L46" s="19">
        <f>IFERROR($L$6/365*I46*J46,"")</f>
        <v/>
      </c>
    </row>
    <row r="47">
      <c r="A47" s="33">
        <f>IFERROR(INDEX('בנק'!$A:$A,AGGREGATE(15,6,ROW($A$6:$A$500)/(('בנק'!$I$6:$I$500&lt;0)*('בנק'!$I$6:$I$500&lt;&gt;"")),ROW()-7)),"")</f>
        <v/>
      </c>
      <c r="B47" s="34">
        <f>IFERROR(INDEX('בנק'!$B:$B,AGGREGATE(15,6,ROW($A$6:$A$500)/(('בנק'!$I$6:$I$500&lt;0)*('בנק'!$I$6:$I$500&lt;&gt;"")),ROW()-7)),"")</f>
        <v/>
      </c>
      <c r="C47" s="34">
        <f>IFERROR(INDEX('בנק'!$C:$C,AGGREGATE(15,6,ROW($A$6:$A$500)/(('בנק'!$I$6:$I$500&lt;0)*('בנק'!$I$6:$I$500&lt;&gt;"")),ROW()-7)),"")</f>
        <v/>
      </c>
      <c r="D47" s="34">
        <f>IFERROR(INDEX('בנק'!$D:$D,AGGREGATE(15,6,ROW($A$6:$A$500)/(('בנק'!$I$6:$I$500&lt;0)*('בנק'!$I$6:$I$500&lt;&gt;"")),ROW()-7)),"")</f>
        <v/>
      </c>
      <c r="E47" s="34">
        <f>IFERROR(INDEX('בנק'!$E:$E,AGGREGATE(15,6,ROW($A$6:$A$500)/(('בנק'!$I$6:$I$500&lt;0)*('בנק'!$I$6:$I$500&lt;&gt;"")),ROW()-7)),"")</f>
        <v/>
      </c>
      <c r="F47" s="34">
        <f>IFERROR(INDEX('בנק'!$F:$F,AGGREGATE(15,6,ROW($A$6:$A$500)/(('בנק'!$I$6:$I$500&lt;0)*('בנק'!$I$6:$I$500&lt;&gt;"")),ROW()-7)),"")</f>
        <v/>
      </c>
      <c r="G47" s="19">
        <f>IFERROR(INDEX('בנק'!$G:$G,AGGREGATE(15,6,ROW($A$6:$A$500)/(('בנק'!$I$6:$I$500&lt;0)*('בנק'!$I$6:$I$500&lt;&gt;"")),ROW()-7)),"")</f>
        <v/>
      </c>
      <c r="H47" s="19">
        <f>IFERROR(INDEX('בנק'!$H:$H,AGGREGATE(15,6,ROW($A$6:$A$500)/(('בנק'!$I$6:$I$500&lt;0)*('בנק'!$I$6:$I$500&lt;&gt;"")),ROW()-7)),"")</f>
        <v/>
      </c>
      <c r="I47" s="19">
        <f>IFERROR(INDEX('בנק'!$I:$I,AGGREGATE(15,6,ROW($A$6:$A$500)/(('בנק'!$I$6:$I$500&lt;0)*('בנק'!$I$6:$I$500&lt;&gt;"")),ROW()-7)),"")</f>
        <v/>
      </c>
      <c r="J47" s="35">
        <f>IFERROR(A46-A47,"")</f>
        <v/>
      </c>
      <c r="K47" s="35">
        <f>IFERROR(A47-A48,"")</f>
        <v/>
      </c>
      <c r="L47" s="19">
        <f>IFERROR($L$6/365*I47*J47,"")</f>
        <v/>
      </c>
    </row>
    <row r="48">
      <c r="A48" s="33">
        <f>IFERROR(INDEX('בנק'!$A:$A,AGGREGATE(15,6,ROW($A$6:$A$500)/(('בנק'!$I$6:$I$500&lt;0)*('בנק'!$I$6:$I$500&lt;&gt;"")),ROW()-7)),"")</f>
        <v/>
      </c>
      <c r="B48" s="34">
        <f>IFERROR(INDEX('בנק'!$B:$B,AGGREGATE(15,6,ROW($A$6:$A$500)/(('בנק'!$I$6:$I$500&lt;0)*('בנק'!$I$6:$I$500&lt;&gt;"")),ROW()-7)),"")</f>
        <v/>
      </c>
      <c r="C48" s="34">
        <f>IFERROR(INDEX('בנק'!$C:$C,AGGREGATE(15,6,ROW($A$6:$A$500)/(('בנק'!$I$6:$I$500&lt;0)*('בנק'!$I$6:$I$500&lt;&gt;"")),ROW()-7)),"")</f>
        <v/>
      </c>
      <c r="D48" s="34">
        <f>IFERROR(INDEX('בנק'!$D:$D,AGGREGATE(15,6,ROW($A$6:$A$500)/(('בנק'!$I$6:$I$500&lt;0)*('בנק'!$I$6:$I$500&lt;&gt;"")),ROW()-7)),"")</f>
        <v/>
      </c>
      <c r="E48" s="34">
        <f>IFERROR(INDEX('בנק'!$E:$E,AGGREGATE(15,6,ROW($A$6:$A$500)/(('בנק'!$I$6:$I$500&lt;0)*('בנק'!$I$6:$I$500&lt;&gt;"")),ROW()-7)),"")</f>
        <v/>
      </c>
      <c r="F48" s="34">
        <f>IFERROR(INDEX('בנק'!$F:$F,AGGREGATE(15,6,ROW($A$6:$A$500)/(('בנק'!$I$6:$I$500&lt;0)*('בנק'!$I$6:$I$500&lt;&gt;"")),ROW()-7)),"")</f>
        <v/>
      </c>
      <c r="G48" s="19">
        <f>IFERROR(INDEX('בנק'!$G:$G,AGGREGATE(15,6,ROW($A$6:$A$500)/(('בנק'!$I$6:$I$500&lt;0)*('בנק'!$I$6:$I$500&lt;&gt;"")),ROW()-7)),"")</f>
        <v/>
      </c>
      <c r="H48" s="19">
        <f>IFERROR(INDEX('בנק'!$H:$H,AGGREGATE(15,6,ROW($A$6:$A$500)/(('בנק'!$I$6:$I$500&lt;0)*('בנק'!$I$6:$I$500&lt;&gt;"")),ROW()-7)),"")</f>
        <v/>
      </c>
      <c r="I48" s="19">
        <f>IFERROR(INDEX('בנק'!$I:$I,AGGREGATE(15,6,ROW($A$6:$A$500)/(('בנק'!$I$6:$I$500&lt;0)*('בנק'!$I$6:$I$500&lt;&gt;"")),ROW()-7)),"")</f>
        <v/>
      </c>
      <c r="J48" s="35">
        <f>IFERROR(A47-A48,"")</f>
        <v/>
      </c>
      <c r="K48" s="35">
        <f>IFERROR(A48-A49,"")</f>
        <v/>
      </c>
      <c r="L48" s="19">
        <f>IFERROR($L$6/365*I48*J48,"")</f>
        <v/>
      </c>
    </row>
    <row r="49">
      <c r="A49" s="33">
        <f>IFERROR(INDEX('בנק'!$A:$A,AGGREGATE(15,6,ROW($A$6:$A$500)/(('בנק'!$I$6:$I$500&lt;0)*('בנק'!$I$6:$I$500&lt;&gt;"")),ROW()-7)),"")</f>
        <v/>
      </c>
      <c r="B49" s="34">
        <f>IFERROR(INDEX('בנק'!$B:$B,AGGREGATE(15,6,ROW($A$6:$A$500)/(('בנק'!$I$6:$I$500&lt;0)*('בנק'!$I$6:$I$500&lt;&gt;"")),ROW()-7)),"")</f>
        <v/>
      </c>
      <c r="C49" s="34">
        <f>IFERROR(INDEX('בנק'!$C:$C,AGGREGATE(15,6,ROW($A$6:$A$500)/(('בנק'!$I$6:$I$500&lt;0)*('בנק'!$I$6:$I$500&lt;&gt;"")),ROW()-7)),"")</f>
        <v/>
      </c>
      <c r="D49" s="34">
        <f>IFERROR(INDEX('בנק'!$D:$D,AGGREGATE(15,6,ROW($A$6:$A$500)/(('בנק'!$I$6:$I$500&lt;0)*('בנק'!$I$6:$I$500&lt;&gt;"")),ROW()-7)),"")</f>
        <v/>
      </c>
      <c r="E49" s="34">
        <f>IFERROR(INDEX('בנק'!$E:$E,AGGREGATE(15,6,ROW($A$6:$A$500)/(('בנק'!$I$6:$I$500&lt;0)*('בנק'!$I$6:$I$500&lt;&gt;"")),ROW()-7)),"")</f>
        <v/>
      </c>
      <c r="F49" s="34">
        <f>IFERROR(INDEX('בנק'!$F:$F,AGGREGATE(15,6,ROW($A$6:$A$500)/(('בנק'!$I$6:$I$500&lt;0)*('בנק'!$I$6:$I$500&lt;&gt;"")),ROW()-7)),"")</f>
        <v/>
      </c>
      <c r="G49" s="19">
        <f>IFERROR(INDEX('בנק'!$G:$G,AGGREGATE(15,6,ROW($A$6:$A$500)/(('בנק'!$I$6:$I$500&lt;0)*('בנק'!$I$6:$I$500&lt;&gt;"")),ROW()-7)),"")</f>
        <v/>
      </c>
      <c r="H49" s="19">
        <f>IFERROR(INDEX('בנק'!$H:$H,AGGREGATE(15,6,ROW($A$6:$A$500)/(('בנק'!$I$6:$I$500&lt;0)*('בנק'!$I$6:$I$500&lt;&gt;"")),ROW()-7)),"")</f>
        <v/>
      </c>
      <c r="I49" s="19">
        <f>IFERROR(INDEX('בנק'!$I:$I,AGGREGATE(15,6,ROW($A$6:$A$500)/(('בנק'!$I$6:$I$500&lt;0)*('בנק'!$I$6:$I$500&lt;&gt;"")),ROW()-7)),"")</f>
        <v/>
      </c>
      <c r="J49" s="35">
        <f>IFERROR(A48-A49,"")</f>
        <v/>
      </c>
      <c r="K49" s="35">
        <f>IFERROR(A49-A50,"")</f>
        <v/>
      </c>
      <c r="L49" s="19">
        <f>IFERROR($L$6/365*I49*J49,"")</f>
        <v/>
      </c>
    </row>
    <row r="50">
      <c r="A50" s="33">
        <f>IFERROR(INDEX('בנק'!$A:$A,AGGREGATE(15,6,ROW($A$6:$A$500)/(('בנק'!$I$6:$I$500&lt;0)*('בנק'!$I$6:$I$500&lt;&gt;"")),ROW()-7)),"")</f>
        <v/>
      </c>
      <c r="B50" s="34">
        <f>IFERROR(INDEX('בנק'!$B:$B,AGGREGATE(15,6,ROW($A$6:$A$500)/(('בנק'!$I$6:$I$500&lt;0)*('בנק'!$I$6:$I$500&lt;&gt;"")),ROW()-7)),"")</f>
        <v/>
      </c>
      <c r="C50" s="34">
        <f>IFERROR(INDEX('בנק'!$C:$C,AGGREGATE(15,6,ROW($A$6:$A$500)/(('בנק'!$I$6:$I$500&lt;0)*('בנק'!$I$6:$I$500&lt;&gt;"")),ROW()-7)),"")</f>
        <v/>
      </c>
      <c r="D50" s="34">
        <f>IFERROR(INDEX('בנק'!$D:$D,AGGREGATE(15,6,ROW($A$6:$A$500)/(('בנק'!$I$6:$I$500&lt;0)*('בנק'!$I$6:$I$500&lt;&gt;"")),ROW()-7)),"")</f>
        <v/>
      </c>
      <c r="E50" s="34">
        <f>IFERROR(INDEX('בנק'!$E:$E,AGGREGATE(15,6,ROW($A$6:$A$500)/(('בנק'!$I$6:$I$500&lt;0)*('בנק'!$I$6:$I$500&lt;&gt;"")),ROW()-7)),"")</f>
        <v/>
      </c>
      <c r="F50" s="34">
        <f>IFERROR(INDEX('בנק'!$F:$F,AGGREGATE(15,6,ROW($A$6:$A$500)/(('בנק'!$I$6:$I$500&lt;0)*('בנק'!$I$6:$I$500&lt;&gt;"")),ROW()-7)),"")</f>
        <v/>
      </c>
      <c r="G50" s="19">
        <f>IFERROR(INDEX('בנק'!$G:$G,AGGREGATE(15,6,ROW($A$6:$A$500)/(('בנק'!$I$6:$I$500&lt;0)*('בנק'!$I$6:$I$500&lt;&gt;"")),ROW()-7)),"")</f>
        <v/>
      </c>
      <c r="H50" s="19">
        <f>IFERROR(INDEX('בנק'!$H:$H,AGGREGATE(15,6,ROW($A$6:$A$500)/(('בנק'!$I$6:$I$500&lt;0)*('בנק'!$I$6:$I$500&lt;&gt;"")),ROW()-7)),"")</f>
        <v/>
      </c>
      <c r="I50" s="19">
        <f>IFERROR(INDEX('בנק'!$I:$I,AGGREGATE(15,6,ROW($A$6:$A$500)/(('בנק'!$I$6:$I$500&lt;0)*('בנק'!$I$6:$I$500&lt;&gt;"")),ROW()-7)),"")</f>
        <v/>
      </c>
      <c r="J50" s="35">
        <f>IFERROR(A49-A50,"")</f>
        <v/>
      </c>
      <c r="K50" s="35">
        <f>IFERROR(A50-A51,"")</f>
        <v/>
      </c>
      <c r="L50" s="19">
        <f>IFERROR($L$6/365*I50*J50,"")</f>
        <v/>
      </c>
    </row>
    <row r="51">
      <c r="A51" s="33">
        <f>IFERROR(INDEX('בנק'!$A:$A,AGGREGATE(15,6,ROW($A$6:$A$500)/(('בנק'!$I$6:$I$500&lt;0)*('בנק'!$I$6:$I$500&lt;&gt;"")),ROW()-7)),"")</f>
        <v/>
      </c>
      <c r="B51" s="34">
        <f>IFERROR(INDEX('בנק'!$B:$B,AGGREGATE(15,6,ROW($A$6:$A$500)/(('בנק'!$I$6:$I$500&lt;0)*('בנק'!$I$6:$I$500&lt;&gt;"")),ROW()-7)),"")</f>
        <v/>
      </c>
      <c r="C51" s="34">
        <f>IFERROR(INDEX('בנק'!$C:$C,AGGREGATE(15,6,ROW($A$6:$A$500)/(('בנק'!$I$6:$I$500&lt;0)*('בנק'!$I$6:$I$500&lt;&gt;"")),ROW()-7)),"")</f>
        <v/>
      </c>
      <c r="D51" s="34">
        <f>IFERROR(INDEX('בנק'!$D:$D,AGGREGATE(15,6,ROW($A$6:$A$500)/(('בנק'!$I$6:$I$500&lt;0)*('בנק'!$I$6:$I$500&lt;&gt;"")),ROW()-7)),"")</f>
        <v/>
      </c>
      <c r="E51" s="34">
        <f>IFERROR(INDEX('בנק'!$E:$E,AGGREGATE(15,6,ROW($A$6:$A$500)/(('בנק'!$I$6:$I$500&lt;0)*('בנק'!$I$6:$I$500&lt;&gt;"")),ROW()-7)),"")</f>
        <v/>
      </c>
      <c r="F51" s="34">
        <f>IFERROR(INDEX('בנק'!$F:$F,AGGREGATE(15,6,ROW($A$6:$A$500)/(('בנק'!$I$6:$I$500&lt;0)*('בנק'!$I$6:$I$500&lt;&gt;"")),ROW()-7)),"")</f>
        <v/>
      </c>
      <c r="G51" s="19">
        <f>IFERROR(INDEX('בנק'!$G:$G,AGGREGATE(15,6,ROW($A$6:$A$500)/(('בנק'!$I$6:$I$500&lt;0)*('בנק'!$I$6:$I$500&lt;&gt;"")),ROW()-7)),"")</f>
        <v/>
      </c>
      <c r="H51" s="19">
        <f>IFERROR(INDEX('בנק'!$H:$H,AGGREGATE(15,6,ROW($A$6:$A$500)/(('בנק'!$I$6:$I$500&lt;0)*('בנק'!$I$6:$I$500&lt;&gt;"")),ROW()-7)),"")</f>
        <v/>
      </c>
      <c r="I51" s="19">
        <f>IFERROR(INDEX('בנק'!$I:$I,AGGREGATE(15,6,ROW($A$6:$A$500)/(('בנק'!$I$6:$I$500&lt;0)*('בנק'!$I$6:$I$500&lt;&gt;"")),ROW()-7)),"")</f>
        <v/>
      </c>
      <c r="J51" s="35">
        <f>IFERROR(A50-A51,"")</f>
        <v/>
      </c>
      <c r="K51" s="35">
        <f>IFERROR(A51-A52,"")</f>
        <v/>
      </c>
      <c r="L51" s="19">
        <f>IFERROR($L$6/365*I51*J51,"")</f>
        <v/>
      </c>
    </row>
    <row r="52">
      <c r="A52" s="33">
        <f>IFERROR(INDEX('בנק'!$A:$A,AGGREGATE(15,6,ROW($A$6:$A$500)/(('בנק'!$I$6:$I$500&lt;0)*('בנק'!$I$6:$I$500&lt;&gt;"")),ROW()-7)),"")</f>
        <v/>
      </c>
      <c r="B52" s="34">
        <f>IFERROR(INDEX('בנק'!$B:$B,AGGREGATE(15,6,ROW($A$6:$A$500)/(('בנק'!$I$6:$I$500&lt;0)*('בנק'!$I$6:$I$500&lt;&gt;"")),ROW()-7)),"")</f>
        <v/>
      </c>
      <c r="C52" s="34">
        <f>IFERROR(INDEX('בנק'!$C:$C,AGGREGATE(15,6,ROW($A$6:$A$500)/(('בנק'!$I$6:$I$500&lt;0)*('בנק'!$I$6:$I$500&lt;&gt;"")),ROW()-7)),"")</f>
        <v/>
      </c>
      <c r="D52" s="34">
        <f>IFERROR(INDEX('בנק'!$D:$D,AGGREGATE(15,6,ROW($A$6:$A$500)/(('בנק'!$I$6:$I$500&lt;0)*('בנק'!$I$6:$I$500&lt;&gt;"")),ROW()-7)),"")</f>
        <v/>
      </c>
      <c r="E52" s="34">
        <f>IFERROR(INDEX('בנק'!$E:$E,AGGREGATE(15,6,ROW($A$6:$A$500)/(('בנק'!$I$6:$I$500&lt;0)*('בנק'!$I$6:$I$500&lt;&gt;"")),ROW()-7)),"")</f>
        <v/>
      </c>
      <c r="F52" s="34">
        <f>IFERROR(INDEX('בנק'!$F:$F,AGGREGATE(15,6,ROW($A$6:$A$500)/(('בנק'!$I$6:$I$500&lt;0)*('בנק'!$I$6:$I$500&lt;&gt;"")),ROW()-7)),"")</f>
        <v/>
      </c>
      <c r="G52" s="19">
        <f>IFERROR(INDEX('בנק'!$G:$G,AGGREGATE(15,6,ROW($A$6:$A$500)/(('בנק'!$I$6:$I$500&lt;0)*('בנק'!$I$6:$I$500&lt;&gt;"")),ROW()-7)),"")</f>
        <v/>
      </c>
      <c r="H52" s="19">
        <f>IFERROR(INDEX('בנק'!$H:$H,AGGREGATE(15,6,ROW($A$6:$A$500)/(('בנק'!$I$6:$I$500&lt;0)*('בנק'!$I$6:$I$500&lt;&gt;"")),ROW()-7)),"")</f>
        <v/>
      </c>
      <c r="I52" s="19">
        <f>IFERROR(INDEX('בנק'!$I:$I,AGGREGATE(15,6,ROW($A$6:$A$500)/(('בנק'!$I$6:$I$500&lt;0)*('בנק'!$I$6:$I$500&lt;&gt;"")),ROW()-7)),"")</f>
        <v/>
      </c>
      <c r="J52" s="35">
        <f>IFERROR(A51-A52,"")</f>
        <v/>
      </c>
      <c r="K52" s="35">
        <f>IFERROR(A52-A53,"")</f>
        <v/>
      </c>
      <c r="L52" s="19">
        <f>IFERROR($L$6/365*I52*J52,"")</f>
        <v/>
      </c>
    </row>
    <row r="53">
      <c r="A53" s="33">
        <f>IFERROR(INDEX('בנק'!$A:$A,AGGREGATE(15,6,ROW($A$6:$A$500)/(('בנק'!$I$6:$I$500&lt;0)*('בנק'!$I$6:$I$500&lt;&gt;"")),ROW()-7)),"")</f>
        <v/>
      </c>
      <c r="B53" s="34">
        <f>IFERROR(INDEX('בנק'!$B:$B,AGGREGATE(15,6,ROW($A$6:$A$500)/(('בנק'!$I$6:$I$500&lt;0)*('בנק'!$I$6:$I$500&lt;&gt;"")),ROW()-7)),"")</f>
        <v/>
      </c>
      <c r="C53" s="34">
        <f>IFERROR(INDEX('בנק'!$C:$C,AGGREGATE(15,6,ROW($A$6:$A$500)/(('בנק'!$I$6:$I$500&lt;0)*('בנק'!$I$6:$I$500&lt;&gt;"")),ROW()-7)),"")</f>
        <v/>
      </c>
      <c r="D53" s="34">
        <f>IFERROR(INDEX('בנק'!$D:$D,AGGREGATE(15,6,ROW($A$6:$A$500)/(('בנק'!$I$6:$I$500&lt;0)*('בנק'!$I$6:$I$500&lt;&gt;"")),ROW()-7)),"")</f>
        <v/>
      </c>
      <c r="E53" s="34">
        <f>IFERROR(INDEX('בנק'!$E:$E,AGGREGATE(15,6,ROW($A$6:$A$500)/(('בנק'!$I$6:$I$500&lt;0)*('בנק'!$I$6:$I$500&lt;&gt;"")),ROW()-7)),"")</f>
        <v/>
      </c>
      <c r="F53" s="34">
        <f>IFERROR(INDEX('בנק'!$F:$F,AGGREGATE(15,6,ROW($A$6:$A$500)/(('בנק'!$I$6:$I$500&lt;0)*('בנק'!$I$6:$I$500&lt;&gt;"")),ROW()-7)),"")</f>
        <v/>
      </c>
      <c r="G53" s="19">
        <f>IFERROR(INDEX('בנק'!$G:$G,AGGREGATE(15,6,ROW($A$6:$A$500)/(('בנק'!$I$6:$I$500&lt;0)*('בנק'!$I$6:$I$500&lt;&gt;"")),ROW()-7)),"")</f>
        <v/>
      </c>
      <c r="H53" s="19">
        <f>IFERROR(INDEX('בנק'!$H:$H,AGGREGATE(15,6,ROW($A$6:$A$500)/(('בנק'!$I$6:$I$500&lt;0)*('בנק'!$I$6:$I$500&lt;&gt;"")),ROW()-7)),"")</f>
        <v/>
      </c>
      <c r="I53" s="19">
        <f>IFERROR(INDEX('בנק'!$I:$I,AGGREGATE(15,6,ROW($A$6:$A$500)/(('בנק'!$I$6:$I$500&lt;0)*('בנק'!$I$6:$I$500&lt;&gt;"")),ROW()-7)),"")</f>
        <v/>
      </c>
      <c r="J53" s="35">
        <f>IFERROR(A52-A53,"")</f>
        <v/>
      </c>
      <c r="K53" s="35">
        <f>IFERROR(A53-A54,"")</f>
        <v/>
      </c>
      <c r="L53" s="19">
        <f>IFERROR($L$6/365*I53*J53,"")</f>
        <v/>
      </c>
    </row>
    <row r="54">
      <c r="A54" s="33">
        <f>IFERROR(INDEX('בנק'!$A:$A,AGGREGATE(15,6,ROW($A$6:$A$500)/(('בנק'!$I$6:$I$500&lt;0)*('בנק'!$I$6:$I$500&lt;&gt;"")),ROW()-7)),"")</f>
        <v/>
      </c>
      <c r="B54" s="34">
        <f>IFERROR(INDEX('בנק'!$B:$B,AGGREGATE(15,6,ROW($A$6:$A$500)/(('בנק'!$I$6:$I$500&lt;0)*('בנק'!$I$6:$I$500&lt;&gt;"")),ROW()-7)),"")</f>
        <v/>
      </c>
      <c r="C54" s="34">
        <f>IFERROR(INDEX('בנק'!$C:$C,AGGREGATE(15,6,ROW($A$6:$A$500)/(('בנק'!$I$6:$I$500&lt;0)*('בנק'!$I$6:$I$500&lt;&gt;"")),ROW()-7)),"")</f>
        <v/>
      </c>
      <c r="D54" s="34">
        <f>IFERROR(INDEX('בנק'!$D:$D,AGGREGATE(15,6,ROW($A$6:$A$500)/(('בנק'!$I$6:$I$500&lt;0)*('בנק'!$I$6:$I$500&lt;&gt;"")),ROW()-7)),"")</f>
        <v/>
      </c>
      <c r="E54" s="34">
        <f>IFERROR(INDEX('בנק'!$E:$E,AGGREGATE(15,6,ROW($A$6:$A$500)/(('בנק'!$I$6:$I$500&lt;0)*('בנק'!$I$6:$I$500&lt;&gt;"")),ROW()-7)),"")</f>
        <v/>
      </c>
      <c r="F54" s="34">
        <f>IFERROR(INDEX('בנק'!$F:$F,AGGREGATE(15,6,ROW($A$6:$A$500)/(('בנק'!$I$6:$I$500&lt;0)*('בנק'!$I$6:$I$500&lt;&gt;"")),ROW()-7)),"")</f>
        <v/>
      </c>
      <c r="G54" s="19">
        <f>IFERROR(INDEX('בנק'!$G:$G,AGGREGATE(15,6,ROW($A$6:$A$500)/(('בנק'!$I$6:$I$500&lt;0)*('בנק'!$I$6:$I$500&lt;&gt;"")),ROW()-7)),"")</f>
        <v/>
      </c>
      <c r="H54" s="19">
        <f>IFERROR(INDEX('בנק'!$H:$H,AGGREGATE(15,6,ROW($A$6:$A$500)/(('בנק'!$I$6:$I$500&lt;0)*('בנק'!$I$6:$I$500&lt;&gt;"")),ROW()-7)),"")</f>
        <v/>
      </c>
      <c r="I54" s="19">
        <f>IFERROR(INDEX('בנק'!$I:$I,AGGREGATE(15,6,ROW($A$6:$A$500)/(('בנק'!$I$6:$I$500&lt;0)*('בנק'!$I$6:$I$500&lt;&gt;"")),ROW()-7)),"")</f>
        <v/>
      </c>
      <c r="J54" s="35">
        <f>IFERROR(A53-A54,"")</f>
        <v/>
      </c>
      <c r="K54" s="35">
        <f>IFERROR(A54-A55,"")</f>
        <v/>
      </c>
      <c r="L54" s="19">
        <f>IFERROR($L$6/365*I54*J54,"")</f>
        <v/>
      </c>
    </row>
    <row r="55">
      <c r="A55" s="33">
        <f>IFERROR(INDEX('בנק'!$A:$A,AGGREGATE(15,6,ROW($A$6:$A$500)/(('בנק'!$I$6:$I$500&lt;0)*('בנק'!$I$6:$I$500&lt;&gt;"")),ROW()-7)),"")</f>
        <v/>
      </c>
      <c r="B55" s="34">
        <f>IFERROR(INDEX('בנק'!$B:$B,AGGREGATE(15,6,ROW($A$6:$A$500)/(('בנק'!$I$6:$I$500&lt;0)*('בנק'!$I$6:$I$500&lt;&gt;"")),ROW()-7)),"")</f>
        <v/>
      </c>
      <c r="C55" s="34">
        <f>IFERROR(INDEX('בנק'!$C:$C,AGGREGATE(15,6,ROW($A$6:$A$500)/(('בנק'!$I$6:$I$500&lt;0)*('בנק'!$I$6:$I$500&lt;&gt;"")),ROW()-7)),"")</f>
        <v/>
      </c>
      <c r="D55" s="34">
        <f>IFERROR(INDEX('בנק'!$D:$D,AGGREGATE(15,6,ROW($A$6:$A$500)/(('בנק'!$I$6:$I$500&lt;0)*('בנק'!$I$6:$I$500&lt;&gt;"")),ROW()-7)),"")</f>
        <v/>
      </c>
      <c r="E55" s="34">
        <f>IFERROR(INDEX('בנק'!$E:$E,AGGREGATE(15,6,ROW($A$6:$A$500)/(('בנק'!$I$6:$I$500&lt;0)*('בנק'!$I$6:$I$500&lt;&gt;"")),ROW()-7)),"")</f>
        <v/>
      </c>
      <c r="F55" s="34">
        <f>IFERROR(INDEX('בנק'!$F:$F,AGGREGATE(15,6,ROW($A$6:$A$500)/(('בנק'!$I$6:$I$500&lt;0)*('בנק'!$I$6:$I$500&lt;&gt;"")),ROW()-7)),"")</f>
        <v/>
      </c>
      <c r="G55" s="19">
        <f>IFERROR(INDEX('בנק'!$G:$G,AGGREGATE(15,6,ROW($A$6:$A$500)/(('בנק'!$I$6:$I$500&lt;0)*('בנק'!$I$6:$I$500&lt;&gt;"")),ROW()-7)),"")</f>
        <v/>
      </c>
      <c r="H55" s="19">
        <f>IFERROR(INDEX('בנק'!$H:$H,AGGREGATE(15,6,ROW($A$6:$A$500)/(('בנק'!$I$6:$I$500&lt;0)*('בנק'!$I$6:$I$500&lt;&gt;"")),ROW()-7)),"")</f>
        <v/>
      </c>
      <c r="I55" s="19">
        <f>IFERROR(INDEX('בנק'!$I:$I,AGGREGATE(15,6,ROW($A$6:$A$500)/(('בנק'!$I$6:$I$500&lt;0)*('בנק'!$I$6:$I$500&lt;&gt;"")),ROW()-7)),"")</f>
        <v/>
      </c>
      <c r="J55" s="35">
        <f>IFERROR(A54-A55,"")</f>
        <v/>
      </c>
      <c r="K55" s="35">
        <f>IFERROR(A55-A56,"")</f>
        <v/>
      </c>
      <c r="L55" s="19">
        <f>IFERROR($L$6/365*I55*J55,"")</f>
        <v/>
      </c>
    </row>
    <row r="56">
      <c r="A56" s="33">
        <f>IFERROR(INDEX('בנק'!$A:$A,AGGREGATE(15,6,ROW($A$6:$A$500)/(('בנק'!$I$6:$I$500&lt;0)*('בנק'!$I$6:$I$500&lt;&gt;"")),ROW()-7)),"")</f>
        <v/>
      </c>
      <c r="B56" s="34">
        <f>IFERROR(INDEX('בנק'!$B:$B,AGGREGATE(15,6,ROW($A$6:$A$500)/(('בנק'!$I$6:$I$500&lt;0)*('בנק'!$I$6:$I$500&lt;&gt;"")),ROW()-7)),"")</f>
        <v/>
      </c>
      <c r="C56" s="34">
        <f>IFERROR(INDEX('בנק'!$C:$C,AGGREGATE(15,6,ROW($A$6:$A$500)/(('בנק'!$I$6:$I$500&lt;0)*('בנק'!$I$6:$I$500&lt;&gt;"")),ROW()-7)),"")</f>
        <v/>
      </c>
      <c r="D56" s="34">
        <f>IFERROR(INDEX('בנק'!$D:$D,AGGREGATE(15,6,ROW($A$6:$A$500)/(('בנק'!$I$6:$I$500&lt;0)*('בנק'!$I$6:$I$500&lt;&gt;"")),ROW()-7)),"")</f>
        <v/>
      </c>
      <c r="E56" s="34">
        <f>IFERROR(INDEX('בנק'!$E:$E,AGGREGATE(15,6,ROW($A$6:$A$500)/(('בנק'!$I$6:$I$500&lt;0)*('בנק'!$I$6:$I$500&lt;&gt;"")),ROW()-7)),"")</f>
        <v/>
      </c>
      <c r="F56" s="34">
        <f>IFERROR(INDEX('בנק'!$F:$F,AGGREGATE(15,6,ROW($A$6:$A$500)/(('בנק'!$I$6:$I$500&lt;0)*('בנק'!$I$6:$I$500&lt;&gt;"")),ROW()-7)),"")</f>
        <v/>
      </c>
      <c r="G56" s="19">
        <f>IFERROR(INDEX('בנק'!$G:$G,AGGREGATE(15,6,ROW($A$6:$A$500)/(('בנק'!$I$6:$I$500&lt;0)*('בנק'!$I$6:$I$500&lt;&gt;"")),ROW()-7)),"")</f>
        <v/>
      </c>
      <c r="H56" s="19">
        <f>IFERROR(INDEX('בנק'!$H:$H,AGGREGATE(15,6,ROW($A$6:$A$500)/(('בנק'!$I$6:$I$500&lt;0)*('בנק'!$I$6:$I$500&lt;&gt;"")),ROW()-7)),"")</f>
        <v/>
      </c>
      <c r="I56" s="19">
        <f>IFERROR(INDEX('בנק'!$I:$I,AGGREGATE(15,6,ROW($A$6:$A$500)/(('בנק'!$I$6:$I$500&lt;0)*('בנק'!$I$6:$I$500&lt;&gt;"")),ROW()-7)),"")</f>
        <v/>
      </c>
      <c r="J56" s="35">
        <f>IFERROR(A55-A56,"")</f>
        <v/>
      </c>
      <c r="K56" s="35">
        <f>IFERROR(A56-A57,"")</f>
        <v/>
      </c>
      <c r="L56" s="19">
        <f>IFERROR($L$6/365*I56*J56,"")</f>
        <v/>
      </c>
    </row>
    <row r="57">
      <c r="A57" s="33">
        <f>IFERROR(INDEX('בנק'!$A:$A,AGGREGATE(15,6,ROW($A$6:$A$500)/(('בנק'!$I$6:$I$500&lt;0)*('בנק'!$I$6:$I$500&lt;&gt;"")),ROW()-7)),"")</f>
        <v/>
      </c>
      <c r="B57" s="34">
        <f>IFERROR(INDEX('בנק'!$B:$B,AGGREGATE(15,6,ROW($A$6:$A$500)/(('בנק'!$I$6:$I$500&lt;0)*('בנק'!$I$6:$I$500&lt;&gt;"")),ROW()-7)),"")</f>
        <v/>
      </c>
      <c r="C57" s="34">
        <f>IFERROR(INDEX('בנק'!$C:$C,AGGREGATE(15,6,ROW($A$6:$A$500)/(('בנק'!$I$6:$I$500&lt;0)*('בנק'!$I$6:$I$500&lt;&gt;"")),ROW()-7)),"")</f>
        <v/>
      </c>
      <c r="D57" s="34">
        <f>IFERROR(INDEX('בנק'!$D:$D,AGGREGATE(15,6,ROW($A$6:$A$500)/(('בנק'!$I$6:$I$500&lt;0)*('בנק'!$I$6:$I$500&lt;&gt;"")),ROW()-7)),"")</f>
        <v/>
      </c>
      <c r="E57" s="34">
        <f>IFERROR(INDEX('בנק'!$E:$E,AGGREGATE(15,6,ROW($A$6:$A$500)/(('בנק'!$I$6:$I$500&lt;0)*('בנק'!$I$6:$I$500&lt;&gt;"")),ROW()-7)),"")</f>
        <v/>
      </c>
      <c r="F57" s="34">
        <f>IFERROR(INDEX('בנק'!$F:$F,AGGREGATE(15,6,ROW($A$6:$A$500)/(('בנק'!$I$6:$I$500&lt;0)*('בנק'!$I$6:$I$500&lt;&gt;"")),ROW()-7)),"")</f>
        <v/>
      </c>
      <c r="G57" s="19">
        <f>IFERROR(INDEX('בנק'!$G:$G,AGGREGATE(15,6,ROW($A$6:$A$500)/(('בנק'!$I$6:$I$500&lt;0)*('בנק'!$I$6:$I$500&lt;&gt;"")),ROW()-7)),"")</f>
        <v/>
      </c>
      <c r="H57" s="19">
        <f>IFERROR(INDEX('בנק'!$H:$H,AGGREGATE(15,6,ROW($A$6:$A$500)/(('בנק'!$I$6:$I$500&lt;0)*('בנק'!$I$6:$I$500&lt;&gt;"")),ROW()-7)),"")</f>
        <v/>
      </c>
      <c r="I57" s="19">
        <f>IFERROR(INDEX('בנק'!$I:$I,AGGREGATE(15,6,ROW($A$6:$A$500)/(('בנק'!$I$6:$I$500&lt;0)*('בנק'!$I$6:$I$500&lt;&gt;"")),ROW()-7)),"")</f>
        <v/>
      </c>
      <c r="J57" s="35">
        <f>IFERROR(A56-A57,"")</f>
        <v/>
      </c>
      <c r="L57" s="19">
        <f>IFERROR($L$6/365*I57*J57,"")</f>
        <v/>
      </c>
    </row>
    <row r="59">
      <c r="L59" s="22">
        <f>SUM(L8:L57)</f>
        <v/>
      </c>
      <c r="M59" s="4" t="inlineStr">
        <is>
          <t>ריבית מחושבת</t>
        </is>
      </c>
    </row>
    <row r="60">
      <c r="L60" s="36" t="n">
        <v>-245208</v>
      </c>
      <c r="M60" s="2" t="inlineStr">
        <is>
          <t>ריבית שירדה בפועל</t>
        </is>
      </c>
    </row>
    <row r="61">
      <c r="L61" s="20">
        <f>L59-L60</f>
        <v/>
      </c>
      <c r="M61" s="37" t="inlineStr">
        <is>
          <t>החזר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2026-03-10T21:57:49Z</dcterms:created>
  <dcterms:modified xsi:type="dcterms:W3CDTF">2026-03-10T21:57:49Z</dcterms:modified>
</cp:coreProperties>
</file>