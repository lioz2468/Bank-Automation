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3" fontId="2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672550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80,000,000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80000000</v>
      </c>
      <c r="F11" s="16" t="n">
        <v>0.04849999999999999</v>
      </c>
      <c r="G11" s="17" t="n">
        <v>0</v>
      </c>
      <c r="H11" s="18" t="n">
        <v>0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0.04849999999999999</v>
      </c>
      <c r="G12" s="17" t="n">
        <v>0</v>
      </c>
      <c r="H12" s="18" t="n">
        <v>0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26/11/25</t>
        </is>
      </c>
      <c r="C13" s="13" t="inlineStr">
        <is>
          <t>80,000,000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80000000</v>
      </c>
      <c r="F14" s="16" t="n">
        <v>0.04849999999999999</v>
      </c>
      <c r="G14" s="17" t="n">
        <v>0</v>
      </c>
      <c r="H14" s="18" t="n">
        <v>0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0.04849999999999999</v>
      </c>
      <c r="G15" s="17" t="n">
        <v>0</v>
      </c>
      <c r="H15" s="18" t="n">
        <v>0</v>
      </c>
      <c r="I15" s="19">
        <f>(F15-$I$9)/365*G15</f>
        <v/>
      </c>
    </row>
    <row r="16">
      <c r="A16" s="12" t="inlineStr">
        <is>
          <t>27/11/25</t>
        </is>
      </c>
      <c r="B16" s="12" t="inlineStr">
        <is>
          <t>30/11/25</t>
        </is>
      </c>
      <c r="C16" s="13" t="inlineStr">
        <is>
          <t>80,000,000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80000000</v>
      </c>
      <c r="F17" s="16" t="n">
        <v>0.046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0.046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01/12/25</t>
        </is>
      </c>
      <c r="B19" s="12" t="inlineStr">
        <is>
          <t>31/12/25</t>
        </is>
      </c>
      <c r="C19" s="13" t="inlineStr">
        <is>
          <t>80,000,000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80000000</v>
      </c>
      <c r="F20" s="16" t="n">
        <v>0.046</v>
      </c>
      <c r="G20" s="17" t="n">
        <v>80000000</v>
      </c>
      <c r="H20" s="18" t="n">
        <v>10082.19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</v>
      </c>
      <c r="G21" s="17" t="n">
        <v>119681253.83</v>
      </c>
      <c r="H21" s="18" t="n">
        <v>15083.12</v>
      </c>
      <c r="I21" s="19">
        <f>(F21-$I$9)/365*G21</f>
        <v/>
      </c>
      <c r="J21" s="19">
        <f>(F21-$J$9)/365*G21</f>
        <v/>
      </c>
    </row>
    <row r="22">
      <c r="H22" s="4" t="inlineStr">
        <is>
          <t>החזר</t>
        </is>
      </c>
      <c r="I22" s="20">
        <f>SUM(I11:I21)</f>
        <v/>
      </c>
    </row>
    <row r="23">
      <c r="A23" s="4" t="inlineStr">
        <is>
          <t>סה"כ ריבית חובה:</t>
        </is>
      </c>
      <c r="F23" s="2" t="inlineStr">
        <is>
          <t>מדרגה 1</t>
        </is>
      </c>
      <c r="G23" s="21" t="n">
        <v>10082.19</v>
      </c>
    </row>
    <row r="24">
      <c r="F24" s="2" t="inlineStr">
        <is>
          <t>חריגה</t>
        </is>
      </c>
      <c r="G24" s="21" t="n">
        <v>15083.12</v>
      </c>
    </row>
    <row r="25">
      <c r="G25" s="22">
        <f>SUM(G23:G24)</f>
        <v/>
      </c>
    </row>
    <row r="26">
      <c r="A26" s="4" t="inlineStr">
        <is>
          <t>חשבונך חויב ב- 01/01/26 בסכום של: 25,165.31 ש"ח.</t>
        </is>
      </c>
    </row>
    <row r="28">
      <c r="A28" s="4" t="inlineStr">
        <is>
          <t>לידיעתך:</t>
        </is>
      </c>
    </row>
    <row r="29">
      <c r="A29" s="23" t="inlineStr">
        <is>
          <t>מספרי חובה - נתון זה הינו סיכום (חיבור) של יתרות החובה בפועל (לפי תאריכי ערך)</t>
        </is>
      </c>
    </row>
    <row r="30">
      <c r="A30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12-600-672550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8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29" t="inlineStr">
        <is>
          <t>מספר חשבון 12-600-672550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0" t="inlineStr">
        <is>
          <t>קוד פעולה</t>
        </is>
      </c>
      <c r="C6" s="30" t="inlineStr">
        <is>
          <t>הפעולה</t>
        </is>
      </c>
      <c r="D6" s="30" t="inlineStr">
        <is>
          <t>פרטים</t>
        </is>
      </c>
      <c r="E6" s="30" t="inlineStr">
        <is>
          <t>אסמכתא</t>
        </is>
      </c>
      <c r="F6" s="30" t="inlineStr">
        <is>
          <t>צרור</t>
        </is>
      </c>
      <c r="G6" s="30" t="inlineStr">
        <is>
          <t>חובה</t>
        </is>
      </c>
      <c r="H6" s="30" t="inlineStr">
        <is>
          <t>זכות</t>
        </is>
      </c>
      <c r="I6" s="30" t="inlineStr">
        <is>
          <t>יתרה בש"ח</t>
        </is>
      </c>
      <c r="J6" s="27" t="inlineStr"/>
      <c r="K6" s="27" t="inlineStr">
        <is>
          <t>מספר ימים</t>
        </is>
      </c>
      <c r="L6" s="31">
        <f>$L$2+$L$3</f>
        <v/>
      </c>
      <c r="M6" s="31">
        <f>$M$2+$L$3</f>
        <v/>
      </c>
    </row>
    <row r="7">
      <c r="A7" s="32" t="n">
        <v>46023</v>
      </c>
    </row>
    <row r="9">
      <c r="L9" s="22">
        <f>SUM(L8:L8)</f>
        <v/>
      </c>
      <c r="M9" s="4" t="inlineStr">
        <is>
          <t>ריבית מחושבת</t>
        </is>
      </c>
    </row>
    <row r="10">
      <c r="L10" s="33" t="n">
        <v>-25165</v>
      </c>
      <c r="M10" s="2" t="inlineStr">
        <is>
          <t>ריבית שירדה בפועל</t>
        </is>
      </c>
    </row>
    <row r="11">
      <c r="L11" s="20">
        <f>L9-L10</f>
        <v/>
      </c>
      <c r="M11" s="34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2026-03-10T20:27:45Z</dcterms:created>
  <dcterms:modified xsi:type="dcterms:W3CDTF">2026-03-10T20:27:45Z</dcterms:modified>
</cp:coreProperties>
</file>